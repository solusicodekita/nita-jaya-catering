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13_ncr:1_{99120BA6-AE5E-410A-B004-3F039A414208}" xr6:coauthVersionLast="47" xr6:coauthVersionMax="47" xr10:uidLastSave="{00000000-0000-0000-0000-000000000000}"/>
  <bookViews>
    <workbookView xWindow="-120" yWindow="-120" windowWidth="20730" windowHeight="11160" firstSheet="8" activeTab="12" xr2:uid="{FDFE3F05-9EE6-4560-BC91-D47B90021624}"/>
  </bookViews>
  <sheets>
    <sheet name="chickenroasted" sheetId="1" r:id="rId1"/>
    <sheet name="chickencanton" sheetId="2" r:id="rId2"/>
    <sheet name="pekingduck" sheetId="3" r:id="rId3"/>
    <sheet name="chickencordonbleu" sheetId="4" r:id="rId4"/>
    <sheet name="chikenkolokebonein" sheetId="6" r:id="rId5"/>
    <sheet name="chickenblackpeppersc" sheetId="5" r:id="rId6"/>
    <sheet name="chickenkolokebonelesschicken" sheetId="7" r:id="rId7"/>
    <sheet name="chickengulai" sheetId="9" r:id="rId8"/>
    <sheet name="chickenlodho" sheetId="10" r:id="rId9"/>
    <sheet name="chickenopor" sheetId="11" r:id="rId10"/>
    <sheet name="chickenpanggang" sheetId="12" r:id="rId11"/>
    <sheet name="chickenricarica" sheetId="13" r:id="rId12"/>
    <sheet name="chickenbalado" sheetId="15" r:id="rId13"/>
    <sheet name="Sheet8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5" l="1"/>
  <c r="H21" i="5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H30" i="7" s="1"/>
  <c r="G26" i="5"/>
  <c r="H26" i="5" s="1"/>
  <c r="G25" i="5"/>
  <c r="H25" i="5" s="1"/>
  <c r="G24" i="5"/>
  <c r="H24" i="5" s="1"/>
  <c r="G23" i="5"/>
  <c r="H23" i="5" s="1"/>
  <c r="G22" i="5"/>
  <c r="H22" i="5" s="1"/>
  <c r="G20" i="5"/>
  <c r="H20" i="5" s="1"/>
  <c r="G19" i="5"/>
  <c r="H19" i="5" s="1"/>
  <c r="G18" i="5"/>
  <c r="H18" i="5" s="1"/>
  <c r="G17" i="5"/>
  <c r="H17" i="5" s="1"/>
  <c r="H16" i="5"/>
  <c r="G16" i="5"/>
  <c r="G15" i="5"/>
  <c r="H15" i="5" s="1"/>
  <c r="G14" i="5"/>
  <c r="H14" i="5" s="1"/>
  <c r="H13" i="5"/>
  <c r="G13" i="5"/>
  <c r="H12" i="5"/>
  <c r="G12" i="5"/>
  <c r="H11" i="5"/>
  <c r="G11" i="5"/>
  <c r="H10" i="5"/>
  <c r="G10" i="5"/>
  <c r="H34" i="6"/>
  <c r="H32" i="6"/>
  <c r="H31" i="6"/>
  <c r="H3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H10" i="6"/>
  <c r="G10" i="6"/>
  <c r="H24" i="1"/>
  <c r="H25" i="1"/>
  <c r="H26" i="1"/>
  <c r="H27" i="1"/>
  <c r="H28" i="1"/>
  <c r="H29" i="1"/>
  <c r="H11" i="1"/>
  <c r="H12" i="1"/>
  <c r="H34" i="1" s="1"/>
  <c r="H35" i="1" s="1"/>
  <c r="H36" i="1" s="1"/>
  <c r="H38" i="1" s="1"/>
  <c r="H37" i="1" s="1"/>
  <c r="H13" i="1"/>
  <c r="H14" i="1"/>
  <c r="H15" i="1"/>
  <c r="H16" i="1"/>
  <c r="H17" i="1"/>
  <c r="H18" i="1"/>
  <c r="H19" i="1"/>
  <c r="H20" i="1"/>
  <c r="H21" i="1"/>
  <c r="G11" i="1"/>
  <c r="G12" i="1"/>
  <c r="G13" i="1"/>
  <c r="G14" i="1"/>
  <c r="G15" i="1"/>
  <c r="G16" i="1"/>
  <c r="G17" i="1"/>
  <c r="G18" i="1"/>
  <c r="G19" i="1"/>
  <c r="G20" i="1"/>
  <c r="G21" i="1"/>
  <c r="G24" i="1"/>
  <c r="G25" i="1"/>
  <c r="G26" i="1"/>
  <c r="G27" i="1"/>
  <c r="G28" i="1"/>
  <c r="G29" i="1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10" i="4"/>
  <c r="G20" i="4"/>
  <c r="G21" i="4"/>
  <c r="G22" i="4"/>
  <c r="G23" i="4"/>
  <c r="G24" i="4"/>
  <c r="G25" i="4"/>
  <c r="G11" i="4"/>
  <c r="G12" i="4"/>
  <c r="G13" i="4"/>
  <c r="G14" i="4"/>
  <c r="G15" i="4"/>
  <c r="G16" i="4"/>
  <c r="G17" i="4"/>
  <c r="G26" i="4"/>
  <c r="G27" i="4"/>
  <c r="G10" i="4"/>
  <c r="H29" i="4"/>
  <c r="H31" i="4" s="1"/>
  <c r="H33" i="4" s="1"/>
  <c r="H32" i="4" s="1"/>
  <c r="H27" i="3"/>
  <c r="H28" i="3" s="1"/>
  <c r="H23" i="2"/>
  <c r="H24" i="2" s="1"/>
  <c r="H10" i="2"/>
  <c r="G10" i="2"/>
  <c r="H10" i="1"/>
  <c r="G10" i="1"/>
  <c r="H30" i="5" l="1"/>
  <c r="H31" i="5" s="1"/>
  <c r="H32" i="5" s="1"/>
  <c r="H34" i="5" s="1"/>
  <c r="H31" i="7"/>
  <c r="H32" i="7"/>
  <c r="H34" i="7" s="1"/>
  <c r="H30" i="4"/>
  <c r="H29" i="3"/>
  <c r="H31" i="3" s="1"/>
  <c r="H30" i="3" s="1"/>
  <c r="H25" i="2"/>
  <c r="H27" i="2" s="1"/>
  <c r="H26" i="2" s="1"/>
</calcChain>
</file>

<file path=xl/sharedStrings.xml><?xml version="1.0" encoding="utf-8"?>
<sst xmlns="http://schemas.openxmlformats.org/spreadsheetml/2006/main" count="566" uniqueCount="118">
  <si>
    <t>NITA JAYA CATERING SERVICE</t>
  </si>
  <si>
    <t>Recipe number          :</t>
  </si>
  <si>
    <t>nama : soupasparagusu kepiting ayam</t>
  </si>
  <si>
    <t>Property                       :</t>
  </si>
  <si>
    <t>Nita Jaya Catering Service</t>
  </si>
  <si>
    <t>Category                       :</t>
  </si>
  <si>
    <t>Soup</t>
  </si>
  <si>
    <t>Yield                               :</t>
  </si>
  <si>
    <t>Ingredients</t>
  </si>
  <si>
    <t>Convertion</t>
  </si>
  <si>
    <t>Used</t>
  </si>
  <si>
    <t>Price Unit</t>
  </si>
  <si>
    <t xml:space="preserve">Total </t>
  </si>
  <si>
    <t>Pack Store</t>
  </si>
  <si>
    <t>Unit</t>
  </si>
  <si>
    <t>Price</t>
  </si>
  <si>
    <t>Qty</t>
  </si>
  <si>
    <t>used in gr</t>
  </si>
  <si>
    <t>Cost</t>
  </si>
  <si>
    <t>chiken whole size 9</t>
  </si>
  <si>
    <t>bawang putih</t>
  </si>
  <si>
    <t>bawang pre</t>
  </si>
  <si>
    <t>bunga lawang</t>
  </si>
  <si>
    <t>kayumanis batang</t>
  </si>
  <si>
    <t>ngo hiong</t>
  </si>
  <si>
    <t>kecap asin</t>
  </si>
  <si>
    <t>saus tiram</t>
  </si>
  <si>
    <t>gula</t>
  </si>
  <si>
    <t>lada bubuk</t>
  </si>
  <si>
    <t>minyak wijen</t>
  </si>
  <si>
    <t>masako</t>
  </si>
  <si>
    <t>saus brown :</t>
  </si>
  <si>
    <t>tepung</t>
  </si>
  <si>
    <t>margarin</t>
  </si>
  <si>
    <t>saus tomat delmonte</t>
  </si>
  <si>
    <t>kecap dark</t>
  </si>
  <si>
    <t>gr</t>
  </si>
  <si>
    <t>pack</t>
  </si>
  <si>
    <t>pcs</t>
  </si>
  <si>
    <t>btl</t>
  </si>
  <si>
    <t>ml</t>
  </si>
  <si>
    <t>sachet</t>
  </si>
  <si>
    <t>maltose</t>
  </si>
  <si>
    <t>cup</t>
  </si>
  <si>
    <t>bebek peking size</t>
  </si>
  <si>
    <t>hoisin sauce</t>
  </si>
  <si>
    <t>btol</t>
  </si>
  <si>
    <t>100 portion</t>
  </si>
  <si>
    <t>ayam dada fillet</t>
  </si>
  <si>
    <t>smoked beef</t>
  </si>
  <si>
    <t>keju cedar</t>
  </si>
  <si>
    <t>tepung terigu</t>
  </si>
  <si>
    <t>panko / tepung roti</t>
  </si>
  <si>
    <t xml:space="preserve">garam </t>
  </si>
  <si>
    <t>lada</t>
  </si>
  <si>
    <t>minyak goreng</t>
  </si>
  <si>
    <t xml:space="preserve">tepung </t>
  </si>
  <si>
    <t>dark saus</t>
  </si>
  <si>
    <t>gula pasir</t>
  </si>
  <si>
    <t>brown sauce :</t>
  </si>
  <si>
    <t>001/olchik/NT/2024</t>
  </si>
  <si>
    <t>nama : roasted chicken ( chinese style)</t>
  </si>
  <si>
    <t>1  portion</t>
  </si>
  <si>
    <t>cost 1</t>
  </si>
  <si>
    <t>cost vactor 20 %</t>
  </si>
  <si>
    <t>cost 2</t>
  </si>
  <si>
    <t>selling cost 30 %</t>
  </si>
  <si>
    <t>selling price</t>
  </si>
  <si>
    <t>002/olchick/NT/2024</t>
  </si>
  <si>
    <t>nama : chicken canton</t>
  </si>
  <si>
    <t>003/olchik/NT/2024</t>
  </si>
  <si>
    <t>nama : peking duck</t>
  </si>
  <si>
    <t>004/olchik/NT/2024</t>
  </si>
  <si>
    <t>dus</t>
  </si>
  <si>
    <t>sak</t>
  </si>
  <si>
    <t>ltr</t>
  </si>
  <si>
    <t>005/olchick/NT/2024</t>
  </si>
  <si>
    <t>nama : chicken koloke bone in</t>
  </si>
  <si>
    <t>main coarse</t>
  </si>
  <si>
    <t>ayam potong 14</t>
  </si>
  <si>
    <t>onion</t>
  </si>
  <si>
    <t>paprika hijaju</t>
  </si>
  <si>
    <t xml:space="preserve">paprika merah </t>
  </si>
  <si>
    <t>nanas kupas</t>
  </si>
  <si>
    <t>whole</t>
  </si>
  <si>
    <t>timun acara</t>
  </si>
  <si>
    <t>tepungg terigu</t>
  </si>
  <si>
    <t>tepung tapioka</t>
  </si>
  <si>
    <t>garam</t>
  </si>
  <si>
    <t>lada putih bubuk</t>
  </si>
  <si>
    <t>masako powder</t>
  </si>
  <si>
    <t>telur</t>
  </si>
  <si>
    <t>cuka masak</t>
  </si>
  <si>
    <t>total cost 1</t>
  </si>
  <si>
    <t>cost vactor 20%</t>
  </si>
  <si>
    <t>total cost 2</t>
  </si>
  <si>
    <t>cost selling 30%</t>
  </si>
  <si>
    <t>price selling</t>
  </si>
  <si>
    <t>method</t>
  </si>
  <si>
    <t xml:space="preserve">1  Ayam potong 14 cuci bersih  lalu tiriskan . Bumbui dgn lada dan garam dan diamkan krang lebih 30 menit </t>
  </si>
  <si>
    <t xml:space="preserve">     agar garam dan lada meresap ke daging ayam.</t>
  </si>
  <si>
    <t xml:space="preserve">2  Campur tepung tapioka dan tepung terigu , kocok telur dan balurkan ke ayam lalu tambah kan tepung lalu </t>
  </si>
  <si>
    <t xml:space="preserve">    basting dengan tepung kering dan goreng ayam di minyak panas di atas sedang. Goreng ayam sampai warna</t>
  </si>
  <si>
    <t xml:space="preserve">    kecoklatan dan angkat lalu tiriskan.</t>
  </si>
  <si>
    <t>3  kupas onion dan bersihkan paprika dari isinya lalu potong kotak( dadu), kupas ketimun dan buang isinya</t>
  </si>
  <si>
    <t xml:space="preserve">    lalu potong serong agak panjang , nanas potong seperti paprika.</t>
  </si>
  <si>
    <t>4  Siapkan wok , tumis bawang putih sampai agak coklat dan harum dan tuang air sekitar  300 --400 ml , lalu</t>
  </si>
  <si>
    <t xml:space="preserve">    tuang saus tomat delmonte, aduk sampai saus tomat tercampur rata denga air. Masukan cuka  dan gula pasir </t>
  </si>
  <si>
    <t xml:space="preserve">     secukupnya ( jangan terlalu manis) , setelah mendidih masukan paprika dan lainya aduk sebentar lalu</t>
  </si>
  <si>
    <t xml:space="preserve">      masukan ayam goreng nya , aduk rata dan yg terakhir adalah minyak wijen.</t>
  </si>
  <si>
    <t xml:space="preserve">5   Bila di rasa saus kurang kental bisa tambahkan tepung tapioka yg di larutkan di air. Tuang air tepung tapioka </t>
  </si>
  <si>
    <t xml:space="preserve">       pelan pelan sambil di aduk sampai terlihat mengental.</t>
  </si>
  <si>
    <t>ayam boneless</t>
  </si>
  <si>
    <t>006/olchick/NT/2024</t>
  </si>
  <si>
    <t>nama : chicken koloke boneless</t>
  </si>
  <si>
    <t xml:space="preserve">1  Ayam boneless potong dadu cuci bersih  lalu tiriskan . Beri dgn lada dan garam , diamkan krang lebih 30 menit </t>
  </si>
  <si>
    <t>lada hitam kasar</t>
  </si>
  <si>
    <t>kecap 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</si>
</sst>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-[$Rp-421]* #,##0_-;\-[$Rp-421]* #,##0_-;_-[$Rp-421]* &quot;-&quot;_-;_-@_-"/>
    <numFmt numFmtId="165" formatCode="[$Rp-421]#,##0;\-[$Rp-421]#,##0"/>
    <numFmt numFmtId="166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6" xfId="0" applyNumberFormat="1" applyBorder="1"/>
    <xf numFmtId="165" fontId="0" fillId="0" borderId="6" xfId="0" applyNumberFormat="1" applyBorder="1"/>
    <xf numFmtId="166" fontId="0" fillId="0" borderId="6" xfId="0" applyNumberFormat="1" applyBorder="1"/>
    <xf numFmtId="164" fontId="1" fillId="0" borderId="6" xfId="0" applyNumberFormat="1" applyFont="1" applyBorder="1"/>
    <xf numFmtId="42" fontId="0" fillId="0" borderId="6" xfId="0" applyNumberFormat="1" applyBorder="1" applyAlignment="1">
      <alignment horizontal="center"/>
    </xf>
    <xf numFmtId="165" fontId="1" fillId="0" borderId="6" xfId="0" applyNumberFormat="1" applyFont="1" applyBorder="1"/>
    <xf numFmtId="166" fontId="1" fillId="0" borderId="6" xfId="0" applyNumberFormat="1" applyFont="1" applyBorder="1"/>
    <xf numFmtId="42" fontId="0" fillId="0" borderId="6" xfId="0" applyNumberFormat="1" applyBorder="1"/>
    <xf numFmtId="165" fontId="0" fillId="0" borderId="6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8C4F-D62F-4145-9723-92E3AD53D4F9}">
  <sheetPr>
    <tabColor rgb="FFFF0000"/>
  </sheetPr>
  <dimension ref="A1:H39"/>
  <sheetViews>
    <sheetView topLeftCell="A30" workbookViewId="0">
      <selection activeCell="H51" sqref="H51"/>
    </sheetView>
  </sheetViews>
  <sheetFormatPr defaultRowHeight="15" x14ac:dyDescent="0.25"/>
  <cols>
    <col min="1" max="1" width="23.5703125" customWidth="1"/>
    <col min="5" max="5" width="6.5703125" customWidth="1"/>
    <col min="6" max="6" width="7" customWidth="1"/>
    <col min="7" max="7" width="15.42578125" customWidth="1"/>
    <col min="8" max="8" width="16.8554687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1" t="s">
        <v>1</v>
      </c>
      <c r="B3" s="1" t="s">
        <v>60</v>
      </c>
      <c r="C3" s="1"/>
      <c r="D3" s="1"/>
      <c r="E3" s="1" t="s">
        <v>61</v>
      </c>
      <c r="F3" s="1"/>
      <c r="G3" s="1"/>
      <c r="H3" s="1"/>
    </row>
    <row r="4" spans="1:8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25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spans="1:8" x14ac:dyDescent="0.25">
      <c r="A6" s="1" t="s">
        <v>7</v>
      </c>
      <c r="B6" s="1" t="s">
        <v>62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8" ht="30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8" x14ac:dyDescent="0.25">
      <c r="A10" s="8" t="s">
        <v>19</v>
      </c>
      <c r="B10" s="10">
        <v>1300</v>
      </c>
      <c r="C10" s="10" t="s">
        <v>36</v>
      </c>
      <c r="D10" s="14">
        <v>15000</v>
      </c>
      <c r="E10" s="10" t="s">
        <v>36</v>
      </c>
      <c r="F10" s="10">
        <v>1300</v>
      </c>
      <c r="G10" s="21">
        <f>SUM(D10/B10)</f>
        <v>11.538461538461538</v>
      </c>
      <c r="H10" s="21">
        <f>SUM(G10*F10)</f>
        <v>15000</v>
      </c>
    </row>
    <row r="11" spans="1:8" x14ac:dyDescent="0.25">
      <c r="A11" s="8" t="s">
        <v>20</v>
      </c>
      <c r="B11" s="10">
        <v>1000</v>
      </c>
      <c r="C11" s="10" t="s">
        <v>36</v>
      </c>
      <c r="D11" s="14"/>
      <c r="E11" s="10" t="s">
        <v>36</v>
      </c>
      <c r="F11" s="10">
        <v>5</v>
      </c>
      <c r="G11" s="21">
        <f t="shared" ref="G11:G29" si="0">SUM(D11/B11)</f>
        <v>0</v>
      </c>
      <c r="H11" s="21">
        <f t="shared" ref="H11:H29" si="1">SUM(G11*F11)</f>
        <v>0</v>
      </c>
    </row>
    <row r="12" spans="1:8" x14ac:dyDescent="0.25">
      <c r="A12" s="8" t="s">
        <v>21</v>
      </c>
      <c r="B12" s="10">
        <v>1000</v>
      </c>
      <c r="C12" s="10" t="s">
        <v>36</v>
      </c>
      <c r="D12" s="13"/>
      <c r="E12" s="10" t="s">
        <v>36</v>
      </c>
      <c r="F12" s="10">
        <v>50</v>
      </c>
      <c r="G12" s="21">
        <f t="shared" si="0"/>
        <v>0</v>
      </c>
      <c r="H12" s="21">
        <f t="shared" si="1"/>
        <v>0</v>
      </c>
    </row>
    <row r="13" spans="1:8" x14ac:dyDescent="0.25">
      <c r="A13" s="8" t="s">
        <v>22</v>
      </c>
      <c r="B13" s="10">
        <v>1</v>
      </c>
      <c r="C13" s="10" t="s">
        <v>37</v>
      </c>
      <c r="D13" s="13"/>
      <c r="E13" s="10" t="s">
        <v>38</v>
      </c>
      <c r="F13" s="10">
        <v>5</v>
      </c>
      <c r="G13" s="21">
        <f t="shared" si="0"/>
        <v>0</v>
      </c>
      <c r="H13" s="21">
        <f t="shared" si="1"/>
        <v>0</v>
      </c>
    </row>
    <row r="14" spans="1:8" x14ac:dyDescent="0.25">
      <c r="A14" s="8" t="s">
        <v>23</v>
      </c>
      <c r="B14" s="10">
        <v>1000</v>
      </c>
      <c r="C14" s="10" t="s">
        <v>36</v>
      </c>
      <c r="D14" s="13"/>
      <c r="E14" s="10" t="s">
        <v>36</v>
      </c>
      <c r="F14" s="10">
        <v>20</v>
      </c>
      <c r="G14" s="21">
        <f t="shared" si="0"/>
        <v>0</v>
      </c>
      <c r="H14" s="21">
        <f t="shared" si="1"/>
        <v>0</v>
      </c>
    </row>
    <row r="15" spans="1:8" x14ac:dyDescent="0.25">
      <c r="A15" s="8" t="s">
        <v>24</v>
      </c>
      <c r="B15" s="10">
        <v>1000</v>
      </c>
      <c r="C15" s="10" t="s">
        <v>36</v>
      </c>
      <c r="D15" s="13"/>
      <c r="E15" s="10" t="s">
        <v>36</v>
      </c>
      <c r="F15" s="10">
        <v>30</v>
      </c>
      <c r="G15" s="21">
        <f t="shared" si="0"/>
        <v>0</v>
      </c>
      <c r="H15" s="21">
        <f t="shared" si="1"/>
        <v>0</v>
      </c>
    </row>
    <row r="16" spans="1:8" x14ac:dyDescent="0.25">
      <c r="A16" s="8" t="s">
        <v>25</v>
      </c>
      <c r="B16" s="10">
        <v>1</v>
      </c>
      <c r="C16" s="10" t="s">
        <v>39</v>
      </c>
      <c r="D16" s="13"/>
      <c r="E16" s="10" t="s">
        <v>40</v>
      </c>
      <c r="F16" s="10">
        <v>2</v>
      </c>
      <c r="G16" s="21">
        <f t="shared" si="0"/>
        <v>0</v>
      </c>
      <c r="H16" s="21">
        <f t="shared" si="1"/>
        <v>0</v>
      </c>
    </row>
    <row r="17" spans="1:8" x14ac:dyDescent="0.25">
      <c r="A17" s="8" t="s">
        <v>26</v>
      </c>
      <c r="B17" s="10">
        <v>1</v>
      </c>
      <c r="C17" s="10" t="s">
        <v>39</v>
      </c>
      <c r="D17" s="13"/>
      <c r="E17" s="10" t="s">
        <v>40</v>
      </c>
      <c r="F17" s="10">
        <v>2</v>
      </c>
      <c r="G17" s="21">
        <f t="shared" si="0"/>
        <v>0</v>
      </c>
      <c r="H17" s="21">
        <f t="shared" si="1"/>
        <v>0</v>
      </c>
    </row>
    <row r="18" spans="1:8" x14ac:dyDescent="0.25">
      <c r="A18" s="8" t="s">
        <v>27</v>
      </c>
      <c r="B18" s="10">
        <v>1000</v>
      </c>
      <c r="C18" s="10" t="s">
        <v>36</v>
      </c>
      <c r="D18" s="13"/>
      <c r="E18" s="10" t="s">
        <v>36</v>
      </c>
      <c r="F18" s="10">
        <v>2</v>
      </c>
      <c r="G18" s="21">
        <f t="shared" si="0"/>
        <v>0</v>
      </c>
      <c r="H18" s="21">
        <f t="shared" si="1"/>
        <v>0</v>
      </c>
    </row>
    <row r="19" spans="1:8" x14ac:dyDescent="0.25">
      <c r="A19" s="8" t="s">
        <v>28</v>
      </c>
      <c r="B19" s="10">
        <v>1000</v>
      </c>
      <c r="C19" s="10" t="s">
        <v>36</v>
      </c>
      <c r="D19" s="13"/>
      <c r="E19" s="10" t="s">
        <v>36</v>
      </c>
      <c r="F19" s="10">
        <v>5</v>
      </c>
      <c r="G19" s="21">
        <f t="shared" si="0"/>
        <v>0</v>
      </c>
      <c r="H19" s="21">
        <f t="shared" si="1"/>
        <v>0</v>
      </c>
    </row>
    <row r="20" spans="1:8" x14ac:dyDescent="0.25">
      <c r="A20" s="8" t="s">
        <v>29</v>
      </c>
      <c r="B20" s="10">
        <v>1</v>
      </c>
      <c r="C20" s="10" t="s">
        <v>39</v>
      </c>
      <c r="D20" s="13"/>
      <c r="E20" s="10" t="s">
        <v>40</v>
      </c>
      <c r="F20" s="10">
        <v>30</v>
      </c>
      <c r="G20" s="21">
        <f t="shared" si="0"/>
        <v>0</v>
      </c>
      <c r="H20" s="21">
        <f t="shared" si="1"/>
        <v>0</v>
      </c>
    </row>
    <row r="21" spans="1:8" x14ac:dyDescent="0.25">
      <c r="A21" s="8" t="s">
        <v>30</v>
      </c>
      <c r="B21" s="10">
        <v>1</v>
      </c>
      <c r="C21" s="10" t="s">
        <v>41</v>
      </c>
      <c r="D21" s="13"/>
      <c r="E21" s="10" t="s">
        <v>36</v>
      </c>
      <c r="F21" s="10">
        <v>5</v>
      </c>
      <c r="G21" s="21">
        <f t="shared" si="0"/>
        <v>0</v>
      </c>
      <c r="H21" s="21">
        <f t="shared" si="1"/>
        <v>0</v>
      </c>
    </row>
    <row r="22" spans="1:8" x14ac:dyDescent="0.25">
      <c r="A22" s="9"/>
      <c r="B22" s="10"/>
      <c r="C22" s="10"/>
      <c r="D22" s="13"/>
      <c r="E22" s="10"/>
      <c r="F22" s="10"/>
      <c r="G22" s="21"/>
      <c r="H22" s="21"/>
    </row>
    <row r="23" spans="1:8" x14ac:dyDescent="0.25">
      <c r="A23" s="8" t="s">
        <v>31</v>
      </c>
      <c r="B23" s="10"/>
      <c r="C23" s="10"/>
      <c r="D23" s="13"/>
      <c r="E23" s="10"/>
      <c r="F23" s="10"/>
      <c r="G23" s="21"/>
      <c r="H23" s="21"/>
    </row>
    <row r="24" spans="1:8" x14ac:dyDescent="0.25">
      <c r="A24" s="8" t="s">
        <v>32</v>
      </c>
      <c r="B24" s="10">
        <v>1000</v>
      </c>
      <c r="C24" s="10" t="s">
        <v>36</v>
      </c>
      <c r="D24" s="13"/>
      <c r="E24" s="10" t="s">
        <v>36</v>
      </c>
      <c r="F24" s="10">
        <v>20</v>
      </c>
      <c r="G24" s="21">
        <f t="shared" si="0"/>
        <v>0</v>
      </c>
      <c r="H24" s="21">
        <f t="shared" si="1"/>
        <v>0</v>
      </c>
    </row>
    <row r="25" spans="1:8" x14ac:dyDescent="0.25">
      <c r="A25" s="8" t="s">
        <v>33</v>
      </c>
      <c r="B25" s="10">
        <v>1000</v>
      </c>
      <c r="C25" s="10" t="s">
        <v>36</v>
      </c>
      <c r="D25" s="13"/>
      <c r="E25" s="10" t="s">
        <v>36</v>
      </c>
      <c r="F25" s="10">
        <v>20</v>
      </c>
      <c r="G25" s="21">
        <f t="shared" si="0"/>
        <v>0</v>
      </c>
      <c r="H25" s="21">
        <f t="shared" si="1"/>
        <v>0</v>
      </c>
    </row>
    <row r="26" spans="1:8" x14ac:dyDescent="0.25">
      <c r="A26" s="8" t="s">
        <v>34</v>
      </c>
      <c r="B26" s="10">
        <v>1000</v>
      </c>
      <c r="C26" s="10" t="s">
        <v>36</v>
      </c>
      <c r="D26" s="13"/>
      <c r="E26" s="10" t="s">
        <v>36</v>
      </c>
      <c r="F26" s="10">
        <v>30</v>
      </c>
      <c r="G26" s="21">
        <f t="shared" si="0"/>
        <v>0</v>
      </c>
      <c r="H26" s="21">
        <f t="shared" si="1"/>
        <v>0</v>
      </c>
    </row>
    <row r="27" spans="1:8" x14ac:dyDescent="0.25">
      <c r="A27" s="8" t="s">
        <v>35</v>
      </c>
      <c r="B27" s="10">
        <v>1</v>
      </c>
      <c r="C27" s="10" t="s">
        <v>39</v>
      </c>
      <c r="D27" s="13"/>
      <c r="E27" s="10" t="s">
        <v>36</v>
      </c>
      <c r="F27" s="10">
        <v>10</v>
      </c>
      <c r="G27" s="21">
        <f t="shared" si="0"/>
        <v>0</v>
      </c>
      <c r="H27" s="21">
        <f t="shared" si="1"/>
        <v>0</v>
      </c>
    </row>
    <row r="28" spans="1:8" x14ac:dyDescent="0.25">
      <c r="A28" s="8" t="s">
        <v>27</v>
      </c>
      <c r="B28" s="10">
        <v>1000</v>
      </c>
      <c r="C28" s="10" t="s">
        <v>36</v>
      </c>
      <c r="D28" s="13"/>
      <c r="E28" s="10" t="s">
        <v>36</v>
      </c>
      <c r="F28" s="10">
        <v>10</v>
      </c>
      <c r="G28" s="21">
        <f t="shared" si="0"/>
        <v>0</v>
      </c>
      <c r="H28" s="21">
        <f t="shared" si="1"/>
        <v>0</v>
      </c>
    </row>
    <row r="29" spans="1:8" x14ac:dyDescent="0.25">
      <c r="A29" s="8" t="s">
        <v>30</v>
      </c>
      <c r="B29" s="10">
        <v>1</v>
      </c>
      <c r="C29" s="10" t="s">
        <v>41</v>
      </c>
      <c r="D29" s="13"/>
      <c r="E29" s="10" t="s">
        <v>36</v>
      </c>
      <c r="F29" s="10">
        <v>5</v>
      </c>
      <c r="G29" s="21">
        <f t="shared" si="0"/>
        <v>0</v>
      </c>
      <c r="H29" s="21">
        <f t="shared" si="1"/>
        <v>0</v>
      </c>
    </row>
    <row r="30" spans="1:8" x14ac:dyDescent="0.25">
      <c r="A30" s="9"/>
      <c r="B30" s="10"/>
      <c r="C30" s="9"/>
      <c r="D30" s="13"/>
      <c r="E30" s="9"/>
      <c r="F30" s="10"/>
      <c r="G30" s="9"/>
      <c r="H30" s="9"/>
    </row>
    <row r="31" spans="1:8" x14ac:dyDescent="0.25">
      <c r="A31" s="9"/>
      <c r="B31" s="9"/>
      <c r="C31" s="9"/>
      <c r="D31" s="13"/>
      <c r="E31" s="9"/>
      <c r="F31" s="10"/>
      <c r="G31" s="9"/>
      <c r="H31" s="9"/>
    </row>
    <row r="32" spans="1:8" x14ac:dyDescent="0.25">
      <c r="A32" s="9"/>
      <c r="B32" s="9"/>
      <c r="C32" s="9"/>
      <c r="D32" s="13"/>
      <c r="E32" s="9"/>
      <c r="F32" s="10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  <row r="34" spans="1:8" x14ac:dyDescent="0.25">
      <c r="G34" s="9" t="s">
        <v>63</v>
      </c>
      <c r="H34" s="14">
        <f>SUM(H10:H32)</f>
        <v>15000</v>
      </c>
    </row>
    <row r="35" spans="1:8" x14ac:dyDescent="0.25">
      <c r="G35" s="9" t="s">
        <v>64</v>
      </c>
      <c r="H35" s="15">
        <f>SUM(H34*20/100)</f>
        <v>3000</v>
      </c>
    </row>
    <row r="36" spans="1:8" x14ac:dyDescent="0.25">
      <c r="G36" s="9" t="s">
        <v>65</v>
      </c>
      <c r="H36" s="15">
        <f>SUM(H34:H35)</f>
        <v>18000</v>
      </c>
    </row>
    <row r="37" spans="1:8" x14ac:dyDescent="0.25">
      <c r="G37" s="9" t="s">
        <v>66</v>
      </c>
      <c r="H37" s="15">
        <f>SUM(H38*30/100)</f>
        <v>18000</v>
      </c>
    </row>
    <row r="38" spans="1:8" x14ac:dyDescent="0.25">
      <c r="G38" s="9" t="s">
        <v>67</v>
      </c>
      <c r="H38" s="15">
        <f>SUM(H36*100/30)</f>
        <v>60000</v>
      </c>
    </row>
    <row r="39" spans="1:8" x14ac:dyDescent="0.25">
      <c r="G39" s="9"/>
      <c r="H39" s="9"/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5D69-49B7-478E-989D-CDE402CADF04}">
  <dimension ref="A1:L28"/>
  <sheetViews>
    <sheetView topLeftCell="A8" workbookViewId="0">
      <selection activeCell="G23" sqref="G23:H28"/>
    </sheetView>
  </sheetViews>
  <sheetFormatPr defaultRowHeight="15" x14ac:dyDescent="0.25"/>
  <cols>
    <col min="1" max="1" width="18.28515625" customWidth="1"/>
    <col min="3" max="3" width="7.140625" customWidth="1"/>
    <col min="5" max="5" width="7" customWidth="1"/>
    <col min="7" max="7" width="15.5703125" customWidth="1"/>
    <col min="8" max="8" width="17.5703125" customWidth="1"/>
  </cols>
  <sheetData>
    <row r="1" spans="1:12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12" x14ac:dyDescent="0.25">
      <c r="A3" s="1" t="s">
        <v>1</v>
      </c>
      <c r="B3" s="1" t="s">
        <v>68</v>
      </c>
      <c r="C3" s="1"/>
      <c r="D3" s="1"/>
      <c r="E3" s="1" t="s">
        <v>69</v>
      </c>
      <c r="F3" s="1"/>
      <c r="G3" s="1"/>
      <c r="H3" s="1"/>
    </row>
    <row r="4" spans="1:12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12" x14ac:dyDescent="0.25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spans="1:12" x14ac:dyDescent="0.25">
      <c r="A6" s="1" t="s">
        <v>7</v>
      </c>
      <c r="B6" s="1" t="s">
        <v>62</v>
      </c>
      <c r="C6" s="1"/>
      <c r="D6" s="1"/>
      <c r="E6" s="1"/>
      <c r="F6" s="1"/>
      <c r="G6" s="1"/>
      <c r="H6" s="1"/>
    </row>
    <row r="7" spans="1:12" x14ac:dyDescent="0.25">
      <c r="A7" s="1"/>
      <c r="B7" s="1"/>
      <c r="C7" s="1"/>
      <c r="D7" s="1"/>
      <c r="E7" s="1"/>
      <c r="F7" s="1"/>
      <c r="G7" s="1"/>
      <c r="H7" s="1"/>
    </row>
    <row r="8" spans="1:12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12" ht="30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12" x14ac:dyDescent="0.25">
      <c r="A10" s="8" t="s">
        <v>19</v>
      </c>
      <c r="B10" s="10">
        <v>1300</v>
      </c>
      <c r="C10" s="10" t="s">
        <v>36</v>
      </c>
      <c r="D10" s="9"/>
      <c r="E10" s="10" t="s">
        <v>36</v>
      </c>
      <c r="F10" s="10">
        <v>1300</v>
      </c>
      <c r="G10" s="16">
        <f>SUM(D10/B10)</f>
        <v>0</v>
      </c>
      <c r="H10" s="17">
        <f>SUM(G10*F10)</f>
        <v>0</v>
      </c>
      <c r="I10" s="11"/>
      <c r="J10" s="12"/>
      <c r="K10" s="11"/>
      <c r="L10" s="11"/>
    </row>
    <row r="11" spans="1:12" x14ac:dyDescent="0.25">
      <c r="A11" s="8" t="s">
        <v>20</v>
      </c>
      <c r="B11" s="10">
        <v>1000</v>
      </c>
      <c r="C11" s="10" t="s">
        <v>36</v>
      </c>
      <c r="D11" s="9"/>
      <c r="E11" s="10" t="s">
        <v>36</v>
      </c>
      <c r="F11" s="10">
        <v>5</v>
      </c>
      <c r="G11" s="16"/>
      <c r="H11" s="17"/>
      <c r="I11" s="11"/>
      <c r="J11" s="12"/>
      <c r="K11" s="11"/>
      <c r="L11" s="11"/>
    </row>
    <row r="12" spans="1:12" x14ac:dyDescent="0.25">
      <c r="A12" s="8" t="s">
        <v>21</v>
      </c>
      <c r="B12" s="10">
        <v>1000</v>
      </c>
      <c r="C12" s="10" t="s">
        <v>36</v>
      </c>
      <c r="D12" s="9"/>
      <c r="E12" s="10" t="s">
        <v>36</v>
      </c>
      <c r="F12" s="10">
        <v>50</v>
      </c>
      <c r="G12" s="16"/>
      <c r="H12" s="17"/>
      <c r="I12" s="11"/>
      <c r="J12" s="12"/>
      <c r="K12" s="11"/>
      <c r="L12" s="11"/>
    </row>
    <row r="13" spans="1:12" x14ac:dyDescent="0.25">
      <c r="A13" s="8" t="s">
        <v>22</v>
      </c>
      <c r="B13" s="10">
        <v>1</v>
      </c>
      <c r="C13" s="10" t="s">
        <v>37</v>
      </c>
      <c r="D13" s="9"/>
      <c r="E13" s="10" t="s">
        <v>38</v>
      </c>
      <c r="F13" s="10">
        <v>5</v>
      </c>
      <c r="G13" s="16"/>
      <c r="H13" s="17"/>
      <c r="I13" s="11"/>
      <c r="J13" s="12"/>
      <c r="K13" s="11"/>
      <c r="L13" s="11"/>
    </row>
    <row r="14" spans="1:12" x14ac:dyDescent="0.25">
      <c r="A14" s="8" t="s">
        <v>23</v>
      </c>
      <c r="B14" s="10">
        <v>1000</v>
      </c>
      <c r="C14" s="10" t="s">
        <v>36</v>
      </c>
      <c r="D14" s="9"/>
      <c r="E14" s="10" t="s">
        <v>36</v>
      </c>
      <c r="F14" s="10">
        <v>20</v>
      </c>
      <c r="G14" s="16"/>
      <c r="H14" s="17"/>
      <c r="I14" s="11"/>
      <c r="J14" s="12"/>
      <c r="K14" s="11"/>
      <c r="L14" s="11"/>
    </row>
    <row r="15" spans="1:12" x14ac:dyDescent="0.25">
      <c r="A15" s="8" t="s">
        <v>24</v>
      </c>
      <c r="B15" s="10">
        <v>1000</v>
      </c>
      <c r="C15" s="10" t="s">
        <v>36</v>
      </c>
      <c r="D15" s="9"/>
      <c r="E15" s="10" t="s">
        <v>36</v>
      </c>
      <c r="F15" s="10">
        <v>30</v>
      </c>
      <c r="G15" s="16"/>
      <c r="H15" s="17"/>
      <c r="I15" s="11"/>
      <c r="J15" s="12"/>
      <c r="K15" s="11"/>
      <c r="L15" s="11"/>
    </row>
    <row r="16" spans="1:12" x14ac:dyDescent="0.25">
      <c r="A16" s="8" t="s">
        <v>25</v>
      </c>
      <c r="B16" s="10">
        <v>1</v>
      </c>
      <c r="C16" s="10" t="s">
        <v>39</v>
      </c>
      <c r="D16" s="9"/>
      <c r="E16" s="10" t="s">
        <v>40</v>
      </c>
      <c r="F16" s="10">
        <v>2</v>
      </c>
      <c r="G16" s="16"/>
      <c r="H16" s="17"/>
      <c r="I16" s="11"/>
      <c r="J16" s="12"/>
      <c r="K16" s="11"/>
      <c r="L16" s="11"/>
    </row>
    <row r="17" spans="1:12" x14ac:dyDescent="0.25">
      <c r="A17" s="8" t="s">
        <v>26</v>
      </c>
      <c r="B17" s="10">
        <v>1</v>
      </c>
      <c r="C17" s="10" t="s">
        <v>39</v>
      </c>
      <c r="D17" s="9"/>
      <c r="E17" s="10" t="s">
        <v>40</v>
      </c>
      <c r="F17" s="10">
        <v>2</v>
      </c>
      <c r="G17" s="16"/>
      <c r="H17" s="17"/>
      <c r="I17" s="11"/>
      <c r="J17" s="12"/>
      <c r="K17" s="11"/>
      <c r="L17" s="11"/>
    </row>
    <row r="18" spans="1:12" x14ac:dyDescent="0.25">
      <c r="A18" s="8" t="s">
        <v>27</v>
      </c>
      <c r="B18" s="10">
        <v>1000</v>
      </c>
      <c r="C18" s="10" t="s">
        <v>36</v>
      </c>
      <c r="D18" s="9"/>
      <c r="E18" s="10" t="s">
        <v>36</v>
      </c>
      <c r="F18" s="10">
        <v>2</v>
      </c>
      <c r="G18" s="16"/>
      <c r="H18" s="17"/>
      <c r="I18" s="11"/>
      <c r="J18" s="12"/>
      <c r="K18" s="11"/>
      <c r="L18" s="11"/>
    </row>
    <row r="19" spans="1:12" x14ac:dyDescent="0.25">
      <c r="A19" s="8" t="s">
        <v>28</v>
      </c>
      <c r="B19" s="10">
        <v>1000</v>
      </c>
      <c r="C19" s="10" t="s">
        <v>36</v>
      </c>
      <c r="D19" s="9"/>
      <c r="E19" s="10" t="s">
        <v>36</v>
      </c>
      <c r="F19" s="10">
        <v>5</v>
      </c>
      <c r="G19" s="16"/>
      <c r="H19" s="17"/>
      <c r="I19" s="11"/>
      <c r="J19" s="12"/>
      <c r="K19" s="11"/>
      <c r="L19" s="11"/>
    </row>
    <row r="20" spans="1:12" x14ac:dyDescent="0.25">
      <c r="A20" s="8" t="s">
        <v>29</v>
      </c>
      <c r="B20" s="10">
        <v>1</v>
      </c>
      <c r="C20" s="10" t="s">
        <v>39</v>
      </c>
      <c r="D20" s="9"/>
      <c r="E20" s="10" t="s">
        <v>40</v>
      </c>
      <c r="F20" s="10">
        <v>30</v>
      </c>
      <c r="G20" s="16"/>
      <c r="H20" s="17"/>
      <c r="I20" s="11"/>
      <c r="J20" s="12"/>
      <c r="K20" s="11"/>
      <c r="L20" s="11"/>
    </row>
    <row r="21" spans="1:12" x14ac:dyDescent="0.25">
      <c r="A21" s="8" t="s">
        <v>30</v>
      </c>
      <c r="B21" s="10">
        <v>1</v>
      </c>
      <c r="C21" s="10" t="s">
        <v>41</v>
      </c>
      <c r="D21" s="9"/>
      <c r="E21" s="10" t="s">
        <v>36</v>
      </c>
      <c r="F21" s="10">
        <v>5</v>
      </c>
      <c r="G21" s="16"/>
      <c r="H21" s="17"/>
      <c r="I21" s="11"/>
      <c r="J21" s="12"/>
      <c r="K21" s="11"/>
      <c r="L21" s="11"/>
    </row>
    <row r="22" spans="1:12" x14ac:dyDescent="0.25">
      <c r="A22" s="9"/>
      <c r="B22" s="10"/>
      <c r="C22" s="10"/>
      <c r="D22" s="9"/>
      <c r="E22" s="10"/>
      <c r="F22" s="10"/>
      <c r="G22" s="9"/>
      <c r="H22" s="17"/>
      <c r="I22" s="11"/>
      <c r="J22" s="12"/>
      <c r="K22" s="11"/>
      <c r="L22" s="11"/>
    </row>
    <row r="23" spans="1:12" x14ac:dyDescent="0.25">
      <c r="G23" s="9" t="s">
        <v>63</v>
      </c>
      <c r="H23" s="14">
        <f>SUM(H10:H22)</f>
        <v>0</v>
      </c>
    </row>
    <row r="24" spans="1:12" x14ac:dyDescent="0.25">
      <c r="G24" s="9" t="s">
        <v>64</v>
      </c>
      <c r="H24" s="15">
        <f>SUM(H23*20/100)</f>
        <v>0</v>
      </c>
    </row>
    <row r="25" spans="1:12" x14ac:dyDescent="0.25">
      <c r="G25" s="9" t="s">
        <v>65</v>
      </c>
      <c r="H25" s="15">
        <f>SUM(H23:H24)</f>
        <v>0</v>
      </c>
    </row>
    <row r="26" spans="1:12" x14ac:dyDescent="0.25">
      <c r="G26" s="9" t="s">
        <v>66</v>
      </c>
      <c r="H26" s="15">
        <f>SUM(H27*30/100)</f>
        <v>0</v>
      </c>
    </row>
    <row r="27" spans="1:12" x14ac:dyDescent="0.25">
      <c r="G27" s="9" t="s">
        <v>67</v>
      </c>
      <c r="H27" s="15">
        <f>SUM(H25*100/30)</f>
        <v>0</v>
      </c>
    </row>
    <row r="28" spans="1:12" x14ac:dyDescent="0.25">
      <c r="G28" s="9"/>
      <c r="H28" s="9"/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78F9-43C4-40BB-A48C-A97C0B0CAA42}">
  <sheetPr>
    <tabColor rgb="FF92D050"/>
  </sheetPr>
  <dimension ref="A1:H32"/>
  <sheetViews>
    <sheetView topLeftCell="A11" workbookViewId="0">
      <selection activeCell="E32" sqref="E32"/>
    </sheetView>
  </sheetViews>
  <sheetFormatPr defaultRowHeight="15" x14ac:dyDescent="0.25"/>
  <cols>
    <col min="1" max="1" width="19.85546875" customWidth="1"/>
    <col min="3" max="3" width="6.140625" customWidth="1"/>
    <col min="4" max="4" width="7.42578125" customWidth="1"/>
    <col min="5" max="5" width="5" customWidth="1"/>
    <col min="6" max="6" width="6.140625" customWidth="1"/>
    <col min="7" max="7" width="14.5703125" customWidth="1"/>
    <col min="8" max="8" width="16.2851562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1" t="s">
        <v>1</v>
      </c>
      <c r="B3" s="1" t="s">
        <v>70</v>
      </c>
      <c r="C3" s="1"/>
      <c r="D3" s="1"/>
      <c r="E3" s="1" t="s">
        <v>71</v>
      </c>
      <c r="F3" s="1"/>
      <c r="G3" s="1"/>
      <c r="H3" s="1"/>
    </row>
    <row r="4" spans="1:8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25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spans="1:8" x14ac:dyDescent="0.25">
      <c r="A6" s="1" t="s">
        <v>7</v>
      </c>
      <c r="B6" s="1" t="s">
        <v>62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8" ht="30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8" x14ac:dyDescent="0.25">
      <c r="A10" s="8" t="s">
        <v>44</v>
      </c>
      <c r="B10" s="10">
        <v>2200</v>
      </c>
      <c r="C10" s="10" t="s">
        <v>36</v>
      </c>
      <c r="D10" s="9"/>
      <c r="E10" s="10" t="s">
        <v>36</v>
      </c>
      <c r="F10" s="10">
        <v>1300</v>
      </c>
      <c r="G10" s="9"/>
      <c r="H10" s="9"/>
    </row>
    <row r="11" spans="1:8" x14ac:dyDescent="0.25">
      <c r="A11" s="8" t="s">
        <v>20</v>
      </c>
      <c r="B11" s="10">
        <v>1000</v>
      </c>
      <c r="C11" s="10" t="s">
        <v>36</v>
      </c>
      <c r="D11" s="9"/>
      <c r="E11" s="10" t="s">
        <v>36</v>
      </c>
      <c r="F11" s="10">
        <v>5</v>
      </c>
      <c r="G11" s="9"/>
      <c r="H11" s="9"/>
    </row>
    <row r="12" spans="1:8" x14ac:dyDescent="0.25">
      <c r="A12" s="8" t="s">
        <v>21</v>
      </c>
      <c r="B12" s="10">
        <v>1000</v>
      </c>
      <c r="C12" s="10" t="s">
        <v>36</v>
      </c>
      <c r="D12" s="9"/>
      <c r="E12" s="10" t="s">
        <v>36</v>
      </c>
      <c r="F12" s="10">
        <v>50</v>
      </c>
      <c r="G12" s="9"/>
      <c r="H12" s="9"/>
    </row>
    <row r="13" spans="1:8" x14ac:dyDescent="0.25">
      <c r="A13" s="8" t="s">
        <v>22</v>
      </c>
      <c r="B13" s="10">
        <v>1</v>
      </c>
      <c r="C13" s="10" t="s">
        <v>37</v>
      </c>
      <c r="D13" s="9"/>
      <c r="E13" s="10" t="s">
        <v>38</v>
      </c>
      <c r="F13" s="10">
        <v>5</v>
      </c>
      <c r="G13" s="9"/>
      <c r="H13" s="9"/>
    </row>
    <row r="14" spans="1:8" x14ac:dyDescent="0.25">
      <c r="A14" s="8" t="s">
        <v>23</v>
      </c>
      <c r="B14" s="10">
        <v>1000</v>
      </c>
      <c r="C14" s="10" t="s">
        <v>36</v>
      </c>
      <c r="D14" s="9"/>
      <c r="E14" s="10" t="s">
        <v>36</v>
      </c>
      <c r="F14" s="10">
        <v>20</v>
      </c>
      <c r="G14" s="9"/>
      <c r="H14" s="9"/>
    </row>
    <row r="15" spans="1:8" x14ac:dyDescent="0.25">
      <c r="A15" s="8" t="s">
        <v>24</v>
      </c>
      <c r="B15" s="10">
        <v>1000</v>
      </c>
      <c r="C15" s="10" t="s">
        <v>36</v>
      </c>
      <c r="D15" s="9"/>
      <c r="E15" s="10" t="s">
        <v>36</v>
      </c>
      <c r="F15" s="10">
        <v>30</v>
      </c>
      <c r="G15" s="9"/>
      <c r="H15" s="9"/>
    </row>
    <row r="16" spans="1:8" x14ac:dyDescent="0.25">
      <c r="A16" s="8" t="s">
        <v>25</v>
      </c>
      <c r="B16" s="10">
        <v>1</v>
      </c>
      <c r="C16" s="10" t="s">
        <v>39</v>
      </c>
      <c r="D16" s="9"/>
      <c r="E16" s="10" t="s">
        <v>40</v>
      </c>
      <c r="F16" s="10">
        <v>2</v>
      </c>
      <c r="G16" s="9"/>
      <c r="H16" s="9"/>
    </row>
    <row r="17" spans="1:8" x14ac:dyDescent="0.25">
      <c r="A17" s="8" t="s">
        <v>26</v>
      </c>
      <c r="B17" s="10">
        <v>1</v>
      </c>
      <c r="C17" s="10" t="s">
        <v>39</v>
      </c>
      <c r="D17" s="9"/>
      <c r="E17" s="10" t="s">
        <v>40</v>
      </c>
      <c r="F17" s="10">
        <v>2</v>
      </c>
      <c r="G17" s="9"/>
      <c r="H17" s="9"/>
    </row>
    <row r="18" spans="1:8" x14ac:dyDescent="0.25">
      <c r="A18" s="8" t="s">
        <v>27</v>
      </c>
      <c r="B18" s="10">
        <v>1000</v>
      </c>
      <c r="C18" s="10" t="s">
        <v>36</v>
      </c>
      <c r="D18" s="9"/>
      <c r="E18" s="10" t="s">
        <v>36</v>
      </c>
      <c r="F18" s="10">
        <v>2</v>
      </c>
      <c r="G18" s="9"/>
      <c r="H18" s="9"/>
    </row>
    <row r="19" spans="1:8" x14ac:dyDescent="0.25">
      <c r="A19" s="8" t="s">
        <v>28</v>
      </c>
      <c r="B19" s="10">
        <v>1000</v>
      </c>
      <c r="C19" s="10" t="s">
        <v>36</v>
      </c>
      <c r="D19" s="9"/>
      <c r="E19" s="10" t="s">
        <v>36</v>
      </c>
      <c r="F19" s="10">
        <v>5</v>
      </c>
      <c r="G19" s="9"/>
      <c r="H19" s="9"/>
    </row>
    <row r="20" spans="1:8" x14ac:dyDescent="0.25">
      <c r="A20" s="8" t="s">
        <v>29</v>
      </c>
      <c r="B20" s="10">
        <v>1</v>
      </c>
      <c r="C20" s="10" t="s">
        <v>39</v>
      </c>
      <c r="D20" s="9"/>
      <c r="E20" s="10" t="s">
        <v>40</v>
      </c>
      <c r="F20" s="10">
        <v>30</v>
      </c>
      <c r="G20" s="9"/>
      <c r="H20" s="9"/>
    </row>
    <row r="21" spans="1:8" x14ac:dyDescent="0.25">
      <c r="A21" s="8" t="s">
        <v>30</v>
      </c>
      <c r="B21" s="10">
        <v>1</v>
      </c>
      <c r="C21" s="10" t="s">
        <v>41</v>
      </c>
      <c r="D21" s="9"/>
      <c r="E21" s="10" t="s">
        <v>36</v>
      </c>
      <c r="F21" s="10">
        <v>5</v>
      </c>
      <c r="G21" s="9"/>
      <c r="H21" s="9"/>
    </row>
    <row r="22" spans="1:8" x14ac:dyDescent="0.25">
      <c r="A22" s="8" t="s">
        <v>42</v>
      </c>
      <c r="B22" s="10">
        <v>1</v>
      </c>
      <c r="C22" s="10" t="s">
        <v>43</v>
      </c>
      <c r="D22" s="9"/>
      <c r="E22" s="10" t="s">
        <v>36</v>
      </c>
      <c r="F22" s="10">
        <v>50</v>
      </c>
      <c r="G22" s="9"/>
      <c r="H22" s="9"/>
    </row>
    <row r="23" spans="1:8" x14ac:dyDescent="0.25">
      <c r="A23" s="8" t="s">
        <v>45</v>
      </c>
      <c r="B23" s="10">
        <v>1</v>
      </c>
      <c r="C23" s="10" t="s">
        <v>46</v>
      </c>
      <c r="D23" s="10"/>
      <c r="E23" s="10" t="s">
        <v>36</v>
      </c>
      <c r="F23" s="10">
        <v>50</v>
      </c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G27" s="8" t="s">
        <v>63</v>
      </c>
      <c r="H27" s="14">
        <f>SUM(H14:H26)</f>
        <v>0</v>
      </c>
    </row>
    <row r="28" spans="1:8" x14ac:dyDescent="0.25">
      <c r="G28" s="8" t="s">
        <v>64</v>
      </c>
      <c r="H28" s="15">
        <f>SUM(H27*20/100)</f>
        <v>0</v>
      </c>
    </row>
    <row r="29" spans="1:8" x14ac:dyDescent="0.25">
      <c r="G29" s="8" t="s">
        <v>65</v>
      </c>
      <c r="H29" s="15">
        <f>SUM(H27:H28)</f>
        <v>0</v>
      </c>
    </row>
    <row r="30" spans="1:8" x14ac:dyDescent="0.25">
      <c r="G30" s="8" t="s">
        <v>66</v>
      </c>
      <c r="H30" s="15">
        <f>SUM(H31*30/100)</f>
        <v>0</v>
      </c>
    </row>
    <row r="31" spans="1:8" x14ac:dyDescent="0.25">
      <c r="G31" s="8" t="s">
        <v>67</v>
      </c>
      <c r="H31" s="15">
        <f>SUM(H29*100/30)</f>
        <v>0</v>
      </c>
    </row>
    <row r="32" spans="1:8" x14ac:dyDescent="0.25">
      <c r="G32" s="9"/>
      <c r="H32" s="9"/>
    </row>
  </sheetData>
  <mergeCells count="4">
    <mergeCell ref="A1:H1"/>
    <mergeCell ref="A8:A9"/>
    <mergeCell ref="B8:D8"/>
    <mergeCell ref="E8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F06D-CCBF-4829-9119-7443C85A2D16}">
  <sheetPr>
    <tabColor rgb="FF00B050"/>
  </sheetPr>
  <dimension ref="A1:H34"/>
  <sheetViews>
    <sheetView workbookViewId="0">
      <selection activeCell="J1" sqref="J1"/>
    </sheetView>
  </sheetViews>
  <sheetFormatPr defaultRowHeight="15" x14ac:dyDescent="0.25"/>
  <cols>
    <col min="1" max="1" width="20.5703125" customWidth="1"/>
    <col min="2" max="2" width="11.28515625" customWidth="1"/>
    <col min="3" max="3" width="6" customWidth="1"/>
    <col min="4" max="4" width="10.28515625" bestFit="1" customWidth="1"/>
    <col min="5" max="5" width="6.28515625" customWidth="1"/>
    <col min="6" max="6" width="7.7109375" customWidth="1"/>
    <col min="7" max="7" width="14.85546875" customWidth="1"/>
    <col min="8" max="8" width="18.710937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1" t="s">
        <v>1</v>
      </c>
      <c r="B3" s="1" t="s">
        <v>72</v>
      </c>
      <c r="C3" s="1"/>
      <c r="D3" s="1"/>
      <c r="E3" s="1" t="s">
        <v>2</v>
      </c>
      <c r="F3" s="1"/>
      <c r="G3" s="1"/>
      <c r="H3" s="1"/>
    </row>
    <row r="4" spans="1:8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25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spans="1:8" x14ac:dyDescent="0.25">
      <c r="A6" s="1" t="s">
        <v>7</v>
      </c>
      <c r="B6" s="1" t="s">
        <v>47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8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8" x14ac:dyDescent="0.25">
      <c r="A10" s="8" t="s">
        <v>48</v>
      </c>
      <c r="B10" s="17">
        <v>1000</v>
      </c>
      <c r="C10" s="10" t="s">
        <v>36</v>
      </c>
      <c r="D10" s="20">
        <v>30000</v>
      </c>
      <c r="E10" s="10" t="s">
        <v>36</v>
      </c>
      <c r="F10" s="10">
        <v>5000</v>
      </c>
      <c r="G10" s="13">
        <f>D10/B10</f>
        <v>30</v>
      </c>
      <c r="H10" s="13">
        <f>G10*F10</f>
        <v>150000</v>
      </c>
    </row>
    <row r="11" spans="1:8" x14ac:dyDescent="0.25">
      <c r="A11" s="8" t="s">
        <v>49</v>
      </c>
      <c r="B11" s="10">
        <v>1</v>
      </c>
      <c r="C11" s="10" t="s">
        <v>37</v>
      </c>
      <c r="D11" s="9"/>
      <c r="E11" s="10" t="s">
        <v>36</v>
      </c>
      <c r="F11" s="10">
        <v>20</v>
      </c>
      <c r="G11" s="13">
        <f t="shared" ref="G11:G27" si="0">D11/B11</f>
        <v>0</v>
      </c>
      <c r="H11" s="13">
        <f t="shared" ref="H11:H27" si="1">G11*F11</f>
        <v>0</v>
      </c>
    </row>
    <row r="12" spans="1:8" x14ac:dyDescent="0.25">
      <c r="A12" s="8" t="s">
        <v>50</v>
      </c>
      <c r="B12" s="10">
        <v>1</v>
      </c>
      <c r="C12" s="10" t="s">
        <v>73</v>
      </c>
      <c r="D12" s="9"/>
      <c r="E12" s="10" t="s">
        <v>36</v>
      </c>
      <c r="F12" s="10">
        <v>250</v>
      </c>
      <c r="G12" s="13">
        <f t="shared" si="0"/>
        <v>0</v>
      </c>
      <c r="H12" s="13">
        <f t="shared" si="1"/>
        <v>0</v>
      </c>
    </row>
    <row r="13" spans="1:8" x14ac:dyDescent="0.25">
      <c r="A13" s="8" t="s">
        <v>51</v>
      </c>
      <c r="B13" s="10">
        <v>1000</v>
      </c>
      <c r="C13" s="10" t="s">
        <v>36</v>
      </c>
      <c r="D13" s="9"/>
      <c r="E13" s="10" t="s">
        <v>36</v>
      </c>
      <c r="F13" s="10">
        <v>500</v>
      </c>
      <c r="G13" s="13">
        <f t="shared" si="0"/>
        <v>0</v>
      </c>
      <c r="H13" s="13">
        <f t="shared" si="1"/>
        <v>0</v>
      </c>
    </row>
    <row r="14" spans="1:8" x14ac:dyDescent="0.25">
      <c r="A14" s="8" t="s">
        <v>52</v>
      </c>
      <c r="B14" s="10">
        <v>1</v>
      </c>
      <c r="C14" s="10" t="s">
        <v>74</v>
      </c>
      <c r="D14" s="9"/>
      <c r="E14" s="10" t="s">
        <v>36</v>
      </c>
      <c r="F14" s="10">
        <v>1000</v>
      </c>
      <c r="G14" s="13">
        <f t="shared" si="0"/>
        <v>0</v>
      </c>
      <c r="H14" s="13">
        <f t="shared" si="1"/>
        <v>0</v>
      </c>
    </row>
    <row r="15" spans="1:8" x14ac:dyDescent="0.25">
      <c r="A15" s="8" t="s">
        <v>53</v>
      </c>
      <c r="B15" s="10">
        <v>1</v>
      </c>
      <c r="C15" s="10" t="s">
        <v>37</v>
      </c>
      <c r="D15" s="9"/>
      <c r="E15" s="10" t="s">
        <v>36</v>
      </c>
      <c r="F15" s="10">
        <v>10</v>
      </c>
      <c r="G15" s="13">
        <f t="shared" si="0"/>
        <v>0</v>
      </c>
      <c r="H15" s="13">
        <f t="shared" si="1"/>
        <v>0</v>
      </c>
    </row>
    <row r="16" spans="1:8" x14ac:dyDescent="0.25">
      <c r="A16" s="8" t="s">
        <v>54</v>
      </c>
      <c r="B16" s="10">
        <v>1000</v>
      </c>
      <c r="C16" s="10" t="s">
        <v>36</v>
      </c>
      <c r="D16" s="9"/>
      <c r="E16" s="10" t="s">
        <v>36</v>
      </c>
      <c r="F16" s="10">
        <v>5</v>
      </c>
      <c r="G16" s="13">
        <f t="shared" si="0"/>
        <v>0</v>
      </c>
      <c r="H16" s="13">
        <f t="shared" si="1"/>
        <v>0</v>
      </c>
    </row>
    <row r="17" spans="1:8" x14ac:dyDescent="0.25">
      <c r="A17" s="8" t="s">
        <v>55</v>
      </c>
      <c r="B17" s="10">
        <v>25</v>
      </c>
      <c r="C17" s="10" t="s">
        <v>75</v>
      </c>
      <c r="D17" s="9"/>
      <c r="E17" s="10" t="s">
        <v>75</v>
      </c>
      <c r="F17" s="10">
        <v>6</v>
      </c>
      <c r="G17" s="13">
        <f t="shared" si="0"/>
        <v>0</v>
      </c>
      <c r="H17" s="13">
        <f t="shared" si="1"/>
        <v>0</v>
      </c>
    </row>
    <row r="18" spans="1:8" x14ac:dyDescent="0.25">
      <c r="A18" s="9"/>
      <c r="B18" s="10"/>
      <c r="C18" s="10"/>
      <c r="D18" s="9"/>
      <c r="E18" s="10"/>
      <c r="F18" s="10"/>
      <c r="G18" s="13"/>
      <c r="H18" s="13">
        <f t="shared" si="1"/>
        <v>0</v>
      </c>
    </row>
    <row r="19" spans="1:8" x14ac:dyDescent="0.25">
      <c r="A19" s="8" t="s">
        <v>59</v>
      </c>
      <c r="B19" s="10"/>
      <c r="C19" s="10"/>
      <c r="D19" s="9"/>
      <c r="E19" s="10"/>
      <c r="F19" s="10"/>
      <c r="G19" s="13"/>
      <c r="H19" s="13">
        <f t="shared" si="1"/>
        <v>0</v>
      </c>
    </row>
    <row r="20" spans="1:8" x14ac:dyDescent="0.25">
      <c r="A20" s="8" t="s">
        <v>56</v>
      </c>
      <c r="B20" s="10">
        <v>1000</v>
      </c>
      <c r="C20" s="10" t="s">
        <v>36</v>
      </c>
      <c r="D20" s="9"/>
      <c r="E20" s="10" t="s">
        <v>36</v>
      </c>
      <c r="F20" s="10">
        <v>30</v>
      </c>
      <c r="G20" s="13">
        <f t="shared" si="0"/>
        <v>0</v>
      </c>
      <c r="H20" s="13">
        <f t="shared" si="1"/>
        <v>0</v>
      </c>
    </row>
    <row r="21" spans="1:8" x14ac:dyDescent="0.25">
      <c r="A21" s="8" t="s">
        <v>33</v>
      </c>
      <c r="B21" s="10"/>
      <c r="C21" s="10" t="s">
        <v>36</v>
      </c>
      <c r="D21" s="9"/>
      <c r="E21" s="10" t="s">
        <v>36</v>
      </c>
      <c r="F21" s="10">
        <v>70</v>
      </c>
      <c r="G21" s="13" t="e">
        <f t="shared" si="0"/>
        <v>#DIV/0!</v>
      </c>
      <c r="H21" s="13" t="e">
        <f t="shared" si="1"/>
        <v>#DIV/0!</v>
      </c>
    </row>
    <row r="22" spans="1:8" x14ac:dyDescent="0.25">
      <c r="A22" s="8" t="s">
        <v>34</v>
      </c>
      <c r="B22" s="10"/>
      <c r="C22" s="10" t="s">
        <v>36</v>
      </c>
      <c r="D22" s="9"/>
      <c r="E22" s="10" t="s">
        <v>36</v>
      </c>
      <c r="F22" s="10">
        <v>30</v>
      </c>
      <c r="G22" s="13" t="e">
        <f t="shared" si="0"/>
        <v>#DIV/0!</v>
      </c>
      <c r="H22" s="13" t="e">
        <f t="shared" si="1"/>
        <v>#DIV/0!</v>
      </c>
    </row>
    <row r="23" spans="1:8" x14ac:dyDescent="0.25">
      <c r="A23" s="8" t="s">
        <v>57</v>
      </c>
      <c r="B23" s="10"/>
      <c r="C23" s="10" t="s">
        <v>40</v>
      </c>
      <c r="D23" s="9"/>
      <c r="E23" s="10" t="s">
        <v>40</v>
      </c>
      <c r="F23" s="10">
        <v>10</v>
      </c>
      <c r="G23" s="13" t="e">
        <f t="shared" si="0"/>
        <v>#DIV/0!</v>
      </c>
      <c r="H23" s="13" t="e">
        <f t="shared" si="1"/>
        <v>#DIV/0!</v>
      </c>
    </row>
    <row r="24" spans="1:8" x14ac:dyDescent="0.25">
      <c r="A24" s="8" t="s">
        <v>30</v>
      </c>
      <c r="B24" s="10">
        <v>1</v>
      </c>
      <c r="C24" s="10" t="s">
        <v>41</v>
      </c>
      <c r="D24" s="9"/>
      <c r="E24" s="10" t="s">
        <v>36</v>
      </c>
      <c r="F24" s="10">
        <v>5</v>
      </c>
      <c r="G24" s="13">
        <f t="shared" si="0"/>
        <v>0</v>
      </c>
      <c r="H24" s="13">
        <f t="shared" si="1"/>
        <v>0</v>
      </c>
    </row>
    <row r="25" spans="1:8" x14ac:dyDescent="0.25">
      <c r="A25" s="8" t="s">
        <v>58</v>
      </c>
      <c r="B25" s="10">
        <v>1000</v>
      </c>
      <c r="C25" s="10" t="s">
        <v>36</v>
      </c>
      <c r="D25" s="9"/>
      <c r="E25" s="10" t="s">
        <v>36</v>
      </c>
      <c r="F25" s="10">
        <v>3</v>
      </c>
      <c r="G25" s="13">
        <f t="shared" si="0"/>
        <v>0</v>
      </c>
      <c r="H25" s="13">
        <f t="shared" si="1"/>
        <v>0</v>
      </c>
    </row>
    <row r="26" spans="1:8" x14ac:dyDescent="0.25">
      <c r="A26" s="9"/>
      <c r="B26" s="10"/>
      <c r="C26" s="10"/>
      <c r="D26" s="9"/>
      <c r="E26" s="10"/>
      <c r="F26" s="10"/>
      <c r="G26" s="13" t="e">
        <f t="shared" si="0"/>
        <v>#DIV/0!</v>
      </c>
      <c r="H26" s="13" t="e">
        <f t="shared" si="1"/>
        <v>#DIV/0!</v>
      </c>
    </row>
    <row r="27" spans="1:8" x14ac:dyDescent="0.25">
      <c r="A27" s="9"/>
      <c r="B27" s="9"/>
      <c r="C27" s="9"/>
      <c r="D27" s="9"/>
      <c r="E27" s="10"/>
      <c r="F27" s="10"/>
      <c r="G27" s="13" t="e">
        <f t="shared" si="0"/>
        <v>#DIV/0!</v>
      </c>
      <c r="H27" s="13" t="e">
        <f t="shared" si="1"/>
        <v>#DIV/0!</v>
      </c>
    </row>
    <row r="28" spans="1:8" x14ac:dyDescent="0.25">
      <c r="A28" s="9"/>
      <c r="B28" s="9"/>
      <c r="C28" s="9"/>
      <c r="D28" s="9"/>
      <c r="E28" s="10"/>
      <c r="F28" s="10"/>
      <c r="G28" s="9"/>
      <c r="H28" s="9"/>
    </row>
    <row r="29" spans="1:8" x14ac:dyDescent="0.25">
      <c r="G29" s="8" t="s">
        <v>63</v>
      </c>
      <c r="H29" s="18" t="e">
        <f>SUM(H16:H28)</f>
        <v>#DIV/0!</v>
      </c>
    </row>
    <row r="30" spans="1:8" x14ac:dyDescent="0.25">
      <c r="G30" s="8" t="s">
        <v>64</v>
      </c>
      <c r="H30" s="19" t="e">
        <f>SUM(H29*20/100)</f>
        <v>#DIV/0!</v>
      </c>
    </row>
    <row r="31" spans="1:8" x14ac:dyDescent="0.25">
      <c r="G31" s="8" t="s">
        <v>65</v>
      </c>
      <c r="H31" s="19" t="e">
        <f>SUM(H29:H30)</f>
        <v>#DIV/0!</v>
      </c>
    </row>
    <row r="32" spans="1:8" x14ac:dyDescent="0.25">
      <c r="G32" s="8" t="s">
        <v>66</v>
      </c>
      <c r="H32" s="19" t="e">
        <f>SUM(H33*30/100)</f>
        <v>#DIV/0!</v>
      </c>
    </row>
    <row r="33" spans="7:8" x14ac:dyDescent="0.25">
      <c r="G33" s="8" t="s">
        <v>67</v>
      </c>
      <c r="H33" s="19" t="e">
        <f>SUM(H31*100/30)</f>
        <v>#DIV/0!</v>
      </c>
    </row>
    <row r="34" spans="7:8" x14ac:dyDescent="0.25">
      <c r="G34" s="8"/>
      <c r="H34" s="8"/>
    </row>
  </sheetData>
  <mergeCells count="4">
    <mergeCell ref="A1:H1"/>
    <mergeCell ref="A8:A9"/>
    <mergeCell ref="B8:D8"/>
    <mergeCell ref="E8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F4C3-22FC-4A93-B133-DE91493FDB11}">
  <dimension ref="A1:H48"/>
  <sheetViews>
    <sheetView workbookViewId="0">
      <selection sqref="A1:H51"/>
    </sheetView>
  </sheetViews>
  <sheetFormatPr defaultRowHeight="15" x14ac:dyDescent="0.25"/>
  <cols>
    <col min="1" max="1" width="19.140625" customWidth="1"/>
    <col min="7" max="7" width="16.42578125" customWidth="1"/>
    <col min="8" max="8" width="16.710937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1" t="s">
        <v>1</v>
      </c>
      <c r="B3" s="1" t="s">
        <v>76</v>
      </c>
      <c r="C3" s="1"/>
      <c r="D3" s="1"/>
      <c r="E3" s="1" t="s">
        <v>77</v>
      </c>
      <c r="F3" s="1"/>
      <c r="G3" s="1"/>
      <c r="H3" s="1"/>
    </row>
    <row r="4" spans="1:8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25">
      <c r="A5" s="1" t="s">
        <v>5</v>
      </c>
      <c r="B5" s="1" t="s">
        <v>78</v>
      </c>
      <c r="C5" s="1"/>
      <c r="D5" s="1"/>
      <c r="E5" s="1"/>
      <c r="F5" s="1"/>
      <c r="G5" s="1"/>
      <c r="H5" s="1"/>
    </row>
    <row r="6" spans="1:8" x14ac:dyDescent="0.25">
      <c r="A6" s="1" t="s">
        <v>7</v>
      </c>
      <c r="B6" s="1" t="s">
        <v>47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30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8" ht="30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8" x14ac:dyDescent="0.25">
      <c r="A10" s="8" t="s">
        <v>79</v>
      </c>
      <c r="B10" s="10">
        <v>1000</v>
      </c>
      <c r="C10" s="10" t="s">
        <v>36</v>
      </c>
      <c r="D10" s="20"/>
      <c r="E10" s="10" t="s">
        <v>36</v>
      </c>
      <c r="F10" s="10">
        <v>5000</v>
      </c>
      <c r="G10" s="20">
        <f>SUM(D10/B10)</f>
        <v>0</v>
      </c>
      <c r="H10" s="20">
        <f>SUM(G10*F10)</f>
        <v>0</v>
      </c>
    </row>
    <row r="11" spans="1:8" x14ac:dyDescent="0.25">
      <c r="A11" s="8" t="s">
        <v>80</v>
      </c>
      <c r="B11" s="10">
        <v>1000</v>
      </c>
      <c r="C11" s="10" t="s">
        <v>36</v>
      </c>
      <c r="D11" s="20"/>
      <c r="E11" s="10" t="s">
        <v>36</v>
      </c>
      <c r="F11" s="10">
        <v>300</v>
      </c>
      <c r="G11" s="20">
        <f t="shared" ref="G11:G27" si="0">SUM(D11/B11)</f>
        <v>0</v>
      </c>
      <c r="H11" s="20">
        <f t="shared" ref="H11:H27" si="1">SUM(G11*F11)</f>
        <v>0</v>
      </c>
    </row>
    <row r="12" spans="1:8" x14ac:dyDescent="0.25">
      <c r="A12" s="8" t="s">
        <v>81</v>
      </c>
      <c r="B12" s="10">
        <v>1000</v>
      </c>
      <c r="C12" s="10" t="s">
        <v>36</v>
      </c>
      <c r="D12" s="20"/>
      <c r="E12" s="10" t="s">
        <v>36</v>
      </c>
      <c r="F12" s="10">
        <v>200</v>
      </c>
      <c r="G12" s="20">
        <f t="shared" si="0"/>
        <v>0</v>
      </c>
      <c r="H12" s="20">
        <f t="shared" si="1"/>
        <v>0</v>
      </c>
    </row>
    <row r="13" spans="1:8" x14ac:dyDescent="0.25">
      <c r="A13" s="8" t="s">
        <v>82</v>
      </c>
      <c r="B13" s="10">
        <v>1000</v>
      </c>
      <c r="C13" s="10" t="s">
        <v>36</v>
      </c>
      <c r="D13" s="20"/>
      <c r="E13" s="10" t="s">
        <v>36</v>
      </c>
      <c r="F13" s="10">
        <v>200</v>
      </c>
      <c r="G13" s="20">
        <f t="shared" si="0"/>
        <v>0</v>
      </c>
      <c r="H13" s="20">
        <f t="shared" si="1"/>
        <v>0</v>
      </c>
    </row>
    <row r="14" spans="1:8" x14ac:dyDescent="0.25">
      <c r="A14" s="8" t="s">
        <v>83</v>
      </c>
      <c r="B14" s="10">
        <v>1</v>
      </c>
      <c r="C14" s="10" t="s">
        <v>84</v>
      </c>
      <c r="D14" s="20"/>
      <c r="E14" s="10" t="s">
        <v>84</v>
      </c>
      <c r="F14" s="10">
        <v>2</v>
      </c>
      <c r="G14" s="20">
        <f t="shared" si="0"/>
        <v>0</v>
      </c>
      <c r="H14" s="20">
        <f t="shared" si="1"/>
        <v>0</v>
      </c>
    </row>
    <row r="15" spans="1:8" x14ac:dyDescent="0.25">
      <c r="A15" s="8" t="s">
        <v>85</v>
      </c>
      <c r="B15" s="10">
        <v>1</v>
      </c>
      <c r="C15" s="10" t="s">
        <v>38</v>
      </c>
      <c r="D15" s="20"/>
      <c r="E15" s="10" t="s">
        <v>38</v>
      </c>
      <c r="F15" s="10">
        <v>1</v>
      </c>
      <c r="G15" s="20">
        <f t="shared" si="0"/>
        <v>0</v>
      </c>
      <c r="H15" s="20">
        <f t="shared" si="1"/>
        <v>0</v>
      </c>
    </row>
    <row r="16" spans="1:8" x14ac:dyDescent="0.25">
      <c r="A16" s="8" t="s">
        <v>86</v>
      </c>
      <c r="B16" s="10">
        <v>1000</v>
      </c>
      <c r="C16" s="10" t="s">
        <v>36</v>
      </c>
      <c r="D16" s="20"/>
      <c r="E16" s="10" t="s">
        <v>36</v>
      </c>
      <c r="F16" s="10">
        <v>500</v>
      </c>
      <c r="G16" s="20">
        <f t="shared" si="0"/>
        <v>0</v>
      </c>
      <c r="H16" s="20">
        <f t="shared" si="1"/>
        <v>0</v>
      </c>
    </row>
    <row r="17" spans="1:8" x14ac:dyDescent="0.25">
      <c r="A17" s="8" t="s">
        <v>87</v>
      </c>
      <c r="B17" s="10">
        <v>1000</v>
      </c>
      <c r="C17" s="10" t="s">
        <v>36</v>
      </c>
      <c r="D17" s="20"/>
      <c r="E17" s="10" t="s">
        <v>36</v>
      </c>
      <c r="F17" s="10">
        <v>500</v>
      </c>
      <c r="G17" s="20">
        <f t="shared" si="0"/>
        <v>0</v>
      </c>
      <c r="H17" s="20">
        <f t="shared" si="1"/>
        <v>0</v>
      </c>
    </row>
    <row r="18" spans="1:8" x14ac:dyDescent="0.25">
      <c r="A18" s="8" t="s">
        <v>88</v>
      </c>
      <c r="B18" s="10">
        <v>300</v>
      </c>
      <c r="C18" s="10" t="s">
        <v>36</v>
      </c>
      <c r="D18" s="20"/>
      <c r="E18" s="10" t="s">
        <v>36</v>
      </c>
      <c r="F18" s="10">
        <v>40</v>
      </c>
      <c r="G18" s="20">
        <f t="shared" si="0"/>
        <v>0</v>
      </c>
      <c r="H18" s="20">
        <f t="shared" si="1"/>
        <v>0</v>
      </c>
    </row>
    <row r="19" spans="1:8" x14ac:dyDescent="0.25">
      <c r="A19" s="8" t="s">
        <v>89</v>
      </c>
      <c r="B19" s="10">
        <v>1000</v>
      </c>
      <c r="C19" s="10" t="s">
        <v>36</v>
      </c>
      <c r="D19" s="20"/>
      <c r="E19" s="10" t="s">
        <v>36</v>
      </c>
      <c r="F19" s="10">
        <v>20</v>
      </c>
      <c r="G19" s="20">
        <f t="shared" si="0"/>
        <v>0</v>
      </c>
      <c r="H19" s="20">
        <f t="shared" si="1"/>
        <v>0</v>
      </c>
    </row>
    <row r="20" spans="1:8" x14ac:dyDescent="0.25">
      <c r="A20" s="8" t="s">
        <v>90</v>
      </c>
      <c r="B20" s="10">
        <v>5</v>
      </c>
      <c r="C20" s="10" t="s">
        <v>36</v>
      </c>
      <c r="D20" s="20"/>
      <c r="E20" s="10" t="s">
        <v>36</v>
      </c>
      <c r="F20" s="10">
        <v>30</v>
      </c>
      <c r="G20" s="20">
        <f t="shared" si="0"/>
        <v>0</v>
      </c>
      <c r="H20" s="20">
        <f t="shared" si="1"/>
        <v>0</v>
      </c>
    </row>
    <row r="21" spans="1:8" x14ac:dyDescent="0.25">
      <c r="A21" s="8" t="s">
        <v>91</v>
      </c>
      <c r="B21" s="10">
        <v>1</v>
      </c>
      <c r="C21" s="10" t="s">
        <v>38</v>
      </c>
      <c r="D21" s="20"/>
      <c r="E21" s="10" t="s">
        <v>38</v>
      </c>
      <c r="F21" s="10">
        <v>5</v>
      </c>
      <c r="G21" s="20">
        <f t="shared" si="0"/>
        <v>0</v>
      </c>
      <c r="H21" s="20">
        <f t="shared" si="1"/>
        <v>0</v>
      </c>
    </row>
    <row r="22" spans="1:8" x14ac:dyDescent="0.25">
      <c r="A22" s="8" t="s">
        <v>34</v>
      </c>
      <c r="B22" s="10">
        <v>5000</v>
      </c>
      <c r="C22" s="10" t="s">
        <v>40</v>
      </c>
      <c r="D22" s="20"/>
      <c r="E22" s="10" t="s">
        <v>40</v>
      </c>
      <c r="F22" s="10">
        <v>300</v>
      </c>
      <c r="G22" s="20">
        <f t="shared" si="0"/>
        <v>0</v>
      </c>
      <c r="H22" s="20">
        <f t="shared" si="1"/>
        <v>0</v>
      </c>
    </row>
    <row r="23" spans="1:8" x14ac:dyDescent="0.25">
      <c r="A23" s="8" t="s">
        <v>29</v>
      </c>
      <c r="B23" s="10">
        <v>760</v>
      </c>
      <c r="C23" s="10" t="s">
        <v>40</v>
      </c>
      <c r="D23" s="20"/>
      <c r="E23" s="10" t="s">
        <v>40</v>
      </c>
      <c r="F23" s="10">
        <v>60</v>
      </c>
      <c r="G23" s="20">
        <f t="shared" si="0"/>
        <v>0</v>
      </c>
      <c r="H23" s="20">
        <f t="shared" si="1"/>
        <v>0</v>
      </c>
    </row>
    <row r="24" spans="1:8" x14ac:dyDescent="0.25">
      <c r="A24" s="8" t="s">
        <v>20</v>
      </c>
      <c r="B24" s="10">
        <v>1000</v>
      </c>
      <c r="C24" s="10" t="s">
        <v>36</v>
      </c>
      <c r="D24" s="20"/>
      <c r="E24" s="10" t="s">
        <v>36</v>
      </c>
      <c r="F24" s="10">
        <v>80</v>
      </c>
      <c r="G24" s="20">
        <f t="shared" si="0"/>
        <v>0</v>
      </c>
      <c r="H24" s="20">
        <f t="shared" si="1"/>
        <v>0</v>
      </c>
    </row>
    <row r="25" spans="1:8" x14ac:dyDescent="0.25">
      <c r="A25" s="8" t="s">
        <v>58</v>
      </c>
      <c r="B25" s="10">
        <v>1000</v>
      </c>
      <c r="C25" s="10" t="s">
        <v>36</v>
      </c>
      <c r="D25" s="20"/>
      <c r="E25" s="10" t="s">
        <v>36</v>
      </c>
      <c r="F25" s="10">
        <v>150</v>
      </c>
      <c r="G25" s="20">
        <f t="shared" si="0"/>
        <v>0</v>
      </c>
      <c r="H25" s="20">
        <f t="shared" si="1"/>
        <v>0</v>
      </c>
    </row>
    <row r="26" spans="1:8" x14ac:dyDescent="0.25">
      <c r="A26" s="8" t="s">
        <v>92</v>
      </c>
      <c r="B26" s="10">
        <v>500</v>
      </c>
      <c r="C26" s="10" t="s">
        <v>40</v>
      </c>
      <c r="D26" s="20"/>
      <c r="E26" s="10" t="s">
        <v>40</v>
      </c>
      <c r="F26" s="10">
        <v>20</v>
      </c>
      <c r="G26" s="20">
        <f t="shared" si="0"/>
        <v>0</v>
      </c>
      <c r="H26" s="20">
        <f t="shared" si="1"/>
        <v>0</v>
      </c>
    </row>
    <row r="27" spans="1:8" x14ac:dyDescent="0.25">
      <c r="A27" s="8" t="s">
        <v>55</v>
      </c>
      <c r="B27" s="10">
        <v>1000</v>
      </c>
      <c r="C27" s="10" t="s">
        <v>40</v>
      </c>
      <c r="D27" s="20"/>
      <c r="E27" s="10" t="s">
        <v>40</v>
      </c>
      <c r="F27" s="10">
        <v>2000</v>
      </c>
      <c r="G27" s="20">
        <f t="shared" si="0"/>
        <v>0</v>
      </c>
      <c r="H27" s="20">
        <f t="shared" si="1"/>
        <v>0</v>
      </c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G30" s="9" t="s">
        <v>93</v>
      </c>
      <c r="H30" s="20">
        <f>SUM(H10:H27)</f>
        <v>0</v>
      </c>
    </row>
    <row r="31" spans="1:8" x14ac:dyDescent="0.25">
      <c r="G31" s="9" t="s">
        <v>94</v>
      </c>
      <c r="H31" s="20">
        <f>SUM(H30*20/100)</f>
        <v>0</v>
      </c>
    </row>
    <row r="32" spans="1:8" x14ac:dyDescent="0.25">
      <c r="G32" s="9" t="s">
        <v>95</v>
      </c>
      <c r="H32" s="20">
        <f>SUM(H30:H31)</f>
        <v>0</v>
      </c>
    </row>
    <row r="33" spans="1:8" x14ac:dyDescent="0.25">
      <c r="G33" s="9" t="s">
        <v>96</v>
      </c>
      <c r="H33" s="9"/>
    </row>
    <row r="34" spans="1:8" x14ac:dyDescent="0.25">
      <c r="G34" s="9" t="s">
        <v>97</v>
      </c>
      <c r="H34" s="20">
        <f>SUM(H32*100/30)</f>
        <v>0</v>
      </c>
    </row>
    <row r="35" spans="1:8" x14ac:dyDescent="0.25">
      <c r="A35" t="s">
        <v>98</v>
      </c>
      <c r="G35" s="9"/>
      <c r="H35" s="9"/>
    </row>
    <row r="36" spans="1:8" x14ac:dyDescent="0.25">
      <c r="A36" t="s">
        <v>99</v>
      </c>
    </row>
    <row r="37" spans="1:8" x14ac:dyDescent="0.25">
      <c r="A37" t="s">
        <v>100</v>
      </c>
    </row>
    <row r="38" spans="1:8" x14ac:dyDescent="0.25">
      <c r="A38" t="s">
        <v>101</v>
      </c>
    </row>
    <row r="39" spans="1:8" x14ac:dyDescent="0.25">
      <c r="A39" t="s">
        <v>102</v>
      </c>
    </row>
    <row r="40" spans="1:8" x14ac:dyDescent="0.25">
      <c r="A40" t="s">
        <v>103</v>
      </c>
    </row>
    <row r="41" spans="1:8" x14ac:dyDescent="0.25">
      <c r="A41" t="s">
        <v>104</v>
      </c>
    </row>
    <row r="42" spans="1:8" x14ac:dyDescent="0.25">
      <c r="A42" t="s">
        <v>105</v>
      </c>
    </row>
    <row r="43" spans="1:8" x14ac:dyDescent="0.25">
      <c r="A43" t="s">
        <v>106</v>
      </c>
    </row>
    <row r="44" spans="1:8" x14ac:dyDescent="0.25">
      <c r="A44" t="s">
        <v>107</v>
      </c>
    </row>
    <row r="45" spans="1:8" x14ac:dyDescent="0.25">
      <c r="A45" t="s">
        <v>108</v>
      </c>
    </row>
    <row r="46" spans="1:8" x14ac:dyDescent="0.25">
      <c r="A46" t="s">
        <v>109</v>
      </c>
    </row>
    <row r="47" spans="1:8" x14ac:dyDescent="0.25">
      <c r="A47" t="s">
        <v>110</v>
      </c>
    </row>
    <row r="48" spans="1:8" x14ac:dyDescent="0.25">
      <c r="A48" t="s">
        <v>111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93C3-30BE-46C4-89E8-BA6B58300C48}">
  <dimension ref="A1:H48"/>
  <sheetViews>
    <sheetView topLeftCell="A21" workbookViewId="0">
      <selection activeCell="D42" sqref="D42"/>
    </sheetView>
  </sheetViews>
  <sheetFormatPr defaultRowHeight="15" x14ac:dyDescent="0.25"/>
  <cols>
    <col min="1" max="1" width="18.85546875" customWidth="1"/>
    <col min="7" max="7" width="19.42578125" customWidth="1"/>
    <col min="8" max="8" width="17.14062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1" t="s">
        <v>1</v>
      </c>
      <c r="B3" s="1" t="s">
        <v>76</v>
      </c>
      <c r="C3" s="1"/>
      <c r="D3" s="1"/>
      <c r="E3" s="1" t="s">
        <v>77</v>
      </c>
      <c r="F3" s="1"/>
      <c r="G3" s="1"/>
      <c r="H3" s="1"/>
    </row>
    <row r="4" spans="1:8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25">
      <c r="A5" s="1" t="s">
        <v>5</v>
      </c>
      <c r="B5" s="1" t="s">
        <v>78</v>
      </c>
      <c r="C5" s="1"/>
      <c r="D5" s="1"/>
      <c r="E5" s="1"/>
      <c r="F5" s="1"/>
      <c r="G5" s="1"/>
      <c r="H5" s="1"/>
    </row>
    <row r="6" spans="1:8" x14ac:dyDescent="0.25">
      <c r="A6" s="1" t="s">
        <v>7</v>
      </c>
      <c r="B6" s="1" t="s">
        <v>47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30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8" ht="30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8" x14ac:dyDescent="0.25">
      <c r="A10" s="8" t="s">
        <v>79</v>
      </c>
      <c r="B10" s="10">
        <v>1000</v>
      </c>
      <c r="C10" s="10" t="s">
        <v>36</v>
      </c>
      <c r="D10" s="20"/>
      <c r="E10" s="10" t="s">
        <v>36</v>
      </c>
      <c r="F10" s="10">
        <v>5000</v>
      </c>
      <c r="G10" s="20">
        <f>SUM(D10/B10)</f>
        <v>0</v>
      </c>
      <c r="H10" s="20">
        <f>SUM(G10*F10)</f>
        <v>0</v>
      </c>
    </row>
    <row r="11" spans="1:8" x14ac:dyDescent="0.25">
      <c r="A11" s="8" t="s">
        <v>80</v>
      </c>
      <c r="B11" s="10">
        <v>1000</v>
      </c>
      <c r="C11" s="10" t="s">
        <v>36</v>
      </c>
      <c r="D11" s="20"/>
      <c r="E11" s="10" t="s">
        <v>36</v>
      </c>
      <c r="F11" s="10">
        <v>300</v>
      </c>
      <c r="G11" s="20">
        <f t="shared" ref="G11:G25" si="0">SUM(D11/B11)</f>
        <v>0</v>
      </c>
      <c r="H11" s="20">
        <f t="shared" ref="H11:H25" si="1">SUM(G11*F11)</f>
        <v>0</v>
      </c>
    </row>
    <row r="12" spans="1:8" x14ac:dyDescent="0.25">
      <c r="A12" s="8" t="s">
        <v>81</v>
      </c>
      <c r="B12" s="10">
        <v>1000</v>
      </c>
      <c r="C12" s="10" t="s">
        <v>36</v>
      </c>
      <c r="D12" s="20"/>
      <c r="E12" s="10" t="s">
        <v>36</v>
      </c>
      <c r="F12" s="10">
        <v>200</v>
      </c>
      <c r="G12" s="20">
        <f t="shared" si="0"/>
        <v>0</v>
      </c>
      <c r="H12" s="20">
        <f t="shared" si="1"/>
        <v>0</v>
      </c>
    </row>
    <row r="13" spans="1:8" x14ac:dyDescent="0.25">
      <c r="A13" s="8" t="s">
        <v>82</v>
      </c>
      <c r="B13" s="10">
        <v>1000</v>
      </c>
      <c r="C13" s="10" t="s">
        <v>36</v>
      </c>
      <c r="D13" s="20"/>
      <c r="E13" s="10" t="s">
        <v>36</v>
      </c>
      <c r="F13" s="10">
        <v>200</v>
      </c>
      <c r="G13" s="20">
        <f t="shared" si="0"/>
        <v>0</v>
      </c>
      <c r="H13" s="20">
        <f t="shared" si="1"/>
        <v>0</v>
      </c>
    </row>
    <row r="14" spans="1:8" x14ac:dyDescent="0.25">
      <c r="A14" s="8" t="s">
        <v>116</v>
      </c>
      <c r="B14" s="10">
        <v>1000</v>
      </c>
      <c r="C14" s="10" t="s">
        <v>36</v>
      </c>
      <c r="D14" s="20"/>
      <c r="E14" s="10" t="s">
        <v>36</v>
      </c>
      <c r="F14" s="10">
        <v>100</v>
      </c>
      <c r="G14" s="20">
        <f t="shared" si="0"/>
        <v>0</v>
      </c>
      <c r="H14" s="20">
        <f t="shared" si="1"/>
        <v>0</v>
      </c>
    </row>
    <row r="15" spans="1:8" x14ac:dyDescent="0.25">
      <c r="A15" s="8" t="s">
        <v>26</v>
      </c>
      <c r="B15" s="10">
        <v>600</v>
      </c>
      <c r="C15" s="10" t="s">
        <v>40</v>
      </c>
      <c r="D15" s="20"/>
      <c r="E15" s="10" t="s">
        <v>40</v>
      </c>
      <c r="F15" s="10">
        <v>300</v>
      </c>
      <c r="G15" s="20">
        <f t="shared" si="0"/>
        <v>0</v>
      </c>
      <c r="H15" s="20">
        <f t="shared" si="1"/>
        <v>0</v>
      </c>
    </row>
    <row r="16" spans="1:8" x14ac:dyDescent="0.25">
      <c r="A16" s="8" t="s">
        <v>86</v>
      </c>
      <c r="B16" s="10">
        <v>1000</v>
      </c>
      <c r="C16" s="10" t="s">
        <v>36</v>
      </c>
      <c r="D16" s="20"/>
      <c r="E16" s="10" t="s">
        <v>36</v>
      </c>
      <c r="F16" s="10">
        <v>500</v>
      </c>
      <c r="G16" s="20">
        <f t="shared" si="0"/>
        <v>0</v>
      </c>
      <c r="H16" s="20">
        <f t="shared" si="1"/>
        <v>0</v>
      </c>
    </row>
    <row r="17" spans="1:8" x14ac:dyDescent="0.25">
      <c r="A17" s="8" t="s">
        <v>117</v>
      </c>
      <c r="B17" s="10">
        <v>760</v>
      </c>
      <c r="C17" s="10" t="s">
        <v>40</v>
      </c>
      <c r="D17" s="20"/>
      <c r="E17" s="10" t="s">
        <v>36</v>
      </c>
      <c r="F17" s="10">
        <v>60</v>
      </c>
      <c r="G17" s="20">
        <f t="shared" si="0"/>
        <v>0</v>
      </c>
      <c r="H17" s="20">
        <f t="shared" si="1"/>
        <v>0</v>
      </c>
    </row>
    <row r="18" spans="1:8" x14ac:dyDescent="0.25">
      <c r="A18" s="8" t="s">
        <v>88</v>
      </c>
      <c r="B18" s="10">
        <v>300</v>
      </c>
      <c r="C18" s="10" t="s">
        <v>36</v>
      </c>
      <c r="D18" s="20"/>
      <c r="E18" s="10" t="s">
        <v>36</v>
      </c>
      <c r="F18" s="10">
        <v>40</v>
      </c>
      <c r="G18" s="20">
        <f t="shared" si="0"/>
        <v>0</v>
      </c>
      <c r="H18" s="20">
        <f t="shared" si="1"/>
        <v>0</v>
      </c>
    </row>
    <row r="19" spans="1:8" x14ac:dyDescent="0.25">
      <c r="A19" s="8" t="s">
        <v>89</v>
      </c>
      <c r="B19" s="10">
        <v>1000</v>
      </c>
      <c r="C19" s="10" t="s">
        <v>36</v>
      </c>
      <c r="D19" s="20"/>
      <c r="E19" s="10" t="s">
        <v>36</v>
      </c>
      <c r="F19" s="10">
        <v>20</v>
      </c>
      <c r="G19" s="20">
        <f t="shared" si="0"/>
        <v>0</v>
      </c>
      <c r="H19" s="20">
        <f t="shared" si="1"/>
        <v>0</v>
      </c>
    </row>
    <row r="20" spans="1:8" x14ac:dyDescent="0.25">
      <c r="A20" s="8" t="s">
        <v>90</v>
      </c>
      <c r="B20" s="10">
        <v>5</v>
      </c>
      <c r="C20" s="10" t="s">
        <v>36</v>
      </c>
      <c r="D20" s="20"/>
      <c r="E20" s="10" t="s">
        <v>36</v>
      </c>
      <c r="F20" s="10">
        <v>30</v>
      </c>
      <c r="G20" s="20">
        <f t="shared" si="0"/>
        <v>0</v>
      </c>
      <c r="H20" s="20">
        <f t="shared" si="1"/>
        <v>0</v>
      </c>
    </row>
    <row r="21" spans="1:8" x14ac:dyDescent="0.25">
      <c r="A21" s="8" t="s">
        <v>21</v>
      </c>
      <c r="B21" s="10">
        <v>1000</v>
      </c>
      <c r="C21" s="10" t="s">
        <v>36</v>
      </c>
      <c r="D21" s="20"/>
      <c r="E21" s="10" t="s">
        <v>36</v>
      </c>
      <c r="F21" s="10">
        <v>100</v>
      </c>
      <c r="G21" s="20">
        <f t="shared" si="0"/>
        <v>0</v>
      </c>
      <c r="H21" s="20">
        <f t="shared" si="1"/>
        <v>0</v>
      </c>
    </row>
    <row r="22" spans="1:8" x14ac:dyDescent="0.25">
      <c r="A22" s="8" t="s">
        <v>34</v>
      </c>
      <c r="B22" s="10">
        <v>5000</v>
      </c>
      <c r="C22" s="10" t="s">
        <v>40</v>
      </c>
      <c r="D22" s="20"/>
      <c r="E22" s="10" t="s">
        <v>40</v>
      </c>
      <c r="F22" s="10">
        <v>300</v>
      </c>
      <c r="G22" s="20">
        <f t="shared" si="0"/>
        <v>0</v>
      </c>
      <c r="H22" s="20">
        <f t="shared" si="1"/>
        <v>0</v>
      </c>
    </row>
    <row r="23" spans="1:8" x14ac:dyDescent="0.25">
      <c r="A23" s="8" t="s">
        <v>29</v>
      </c>
      <c r="B23" s="10">
        <v>760</v>
      </c>
      <c r="C23" s="10" t="s">
        <v>40</v>
      </c>
      <c r="D23" s="20"/>
      <c r="E23" s="10" t="s">
        <v>40</v>
      </c>
      <c r="F23" s="10">
        <v>60</v>
      </c>
      <c r="G23" s="20">
        <f t="shared" si="0"/>
        <v>0</v>
      </c>
      <c r="H23" s="20">
        <f t="shared" si="1"/>
        <v>0</v>
      </c>
    </row>
    <row r="24" spans="1:8" x14ac:dyDescent="0.25">
      <c r="A24" s="8" t="s">
        <v>20</v>
      </c>
      <c r="B24" s="10">
        <v>1000</v>
      </c>
      <c r="C24" s="10" t="s">
        <v>36</v>
      </c>
      <c r="D24" s="20"/>
      <c r="E24" s="10" t="s">
        <v>36</v>
      </c>
      <c r="F24" s="10">
        <v>80</v>
      </c>
      <c r="G24" s="20">
        <f t="shared" si="0"/>
        <v>0</v>
      </c>
      <c r="H24" s="20">
        <f t="shared" si="1"/>
        <v>0</v>
      </c>
    </row>
    <row r="25" spans="1:8" x14ac:dyDescent="0.25">
      <c r="A25" s="8" t="s">
        <v>58</v>
      </c>
      <c r="B25" s="10">
        <v>1000</v>
      </c>
      <c r="C25" s="10" t="s">
        <v>36</v>
      </c>
      <c r="D25" s="20"/>
      <c r="E25" s="10" t="s">
        <v>36</v>
      </c>
      <c r="F25" s="10">
        <v>150</v>
      </c>
      <c r="G25" s="20">
        <f t="shared" si="0"/>
        <v>0</v>
      </c>
      <c r="H25" s="20">
        <f t="shared" si="1"/>
        <v>0</v>
      </c>
    </row>
    <row r="26" spans="1:8" x14ac:dyDescent="0.25">
      <c r="A26" s="8" t="s">
        <v>55</v>
      </c>
      <c r="B26" s="10">
        <v>1000</v>
      </c>
      <c r="C26" s="10" t="s">
        <v>40</v>
      </c>
      <c r="D26" s="20"/>
      <c r="E26" s="10" t="s">
        <v>40</v>
      </c>
      <c r="F26" s="10">
        <v>2000</v>
      </c>
      <c r="G26" s="20">
        <f>SUM(D26/B26)</f>
        <v>0</v>
      </c>
      <c r="H26" s="20">
        <f>SUM(G26*F26)</f>
        <v>0</v>
      </c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G30" s="9" t="s">
        <v>93</v>
      </c>
      <c r="H30" s="20">
        <f>SUM(H10:H26)</f>
        <v>0</v>
      </c>
    </row>
    <row r="31" spans="1:8" x14ac:dyDescent="0.25">
      <c r="G31" s="9" t="s">
        <v>94</v>
      </c>
      <c r="H31" s="20">
        <f>SUM(H30*20/100)</f>
        <v>0</v>
      </c>
    </row>
    <row r="32" spans="1:8" x14ac:dyDescent="0.25">
      <c r="G32" s="9" t="s">
        <v>95</v>
      </c>
      <c r="H32" s="20">
        <f>SUM(H30:H31)</f>
        <v>0</v>
      </c>
    </row>
    <row r="33" spans="1:8" x14ac:dyDescent="0.25">
      <c r="G33" s="9" t="s">
        <v>96</v>
      </c>
      <c r="H33" s="9"/>
    </row>
    <row r="34" spans="1:8" x14ac:dyDescent="0.25">
      <c r="G34" s="9" t="s">
        <v>97</v>
      </c>
      <c r="H34" s="20">
        <f>SUM(H32*100/30)</f>
        <v>0</v>
      </c>
    </row>
    <row r="35" spans="1:8" x14ac:dyDescent="0.25">
      <c r="A35" t="s">
        <v>98</v>
      </c>
      <c r="G35" s="9"/>
      <c r="H35" s="9"/>
    </row>
    <row r="36" spans="1:8" x14ac:dyDescent="0.25">
      <c r="A36" t="s">
        <v>99</v>
      </c>
    </row>
    <row r="37" spans="1:8" x14ac:dyDescent="0.25">
      <c r="A37" t="s">
        <v>100</v>
      </c>
    </row>
    <row r="38" spans="1:8" x14ac:dyDescent="0.25">
      <c r="A38" t="s">
        <v>101</v>
      </c>
    </row>
    <row r="39" spans="1:8" x14ac:dyDescent="0.25">
      <c r="A39" t="s">
        <v>102</v>
      </c>
    </row>
    <row r="40" spans="1:8" x14ac:dyDescent="0.25">
      <c r="A40" t="s">
        <v>103</v>
      </c>
    </row>
    <row r="41" spans="1:8" x14ac:dyDescent="0.25">
      <c r="A41" t="s">
        <v>104</v>
      </c>
    </row>
    <row r="42" spans="1:8" x14ac:dyDescent="0.25">
      <c r="A42" t="s">
        <v>105</v>
      </c>
    </row>
    <row r="43" spans="1:8" x14ac:dyDescent="0.25">
      <c r="A43" t="s">
        <v>106</v>
      </c>
    </row>
    <row r="44" spans="1:8" x14ac:dyDescent="0.25">
      <c r="A44" t="s">
        <v>107</v>
      </c>
    </row>
    <row r="45" spans="1:8" x14ac:dyDescent="0.25">
      <c r="A45" t="s">
        <v>108</v>
      </c>
    </row>
    <row r="46" spans="1:8" x14ac:dyDescent="0.25">
      <c r="A46" t="s">
        <v>109</v>
      </c>
    </row>
    <row r="47" spans="1:8" x14ac:dyDescent="0.25">
      <c r="A47" t="s">
        <v>110</v>
      </c>
    </row>
    <row r="48" spans="1:8" x14ac:dyDescent="0.25">
      <c r="A48" t="s">
        <v>111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EB8C-F5CE-4A33-8AE3-38238E6C108C}">
  <dimension ref="A1:H48"/>
  <sheetViews>
    <sheetView topLeftCell="A26" workbookViewId="0">
      <selection activeCell="F34" sqref="F34"/>
    </sheetView>
  </sheetViews>
  <sheetFormatPr defaultRowHeight="15" x14ac:dyDescent="0.25"/>
  <cols>
    <col min="1" max="1" width="19.7109375" customWidth="1"/>
    <col min="7" max="7" width="16.28515625" customWidth="1"/>
    <col min="8" max="8" width="16.8554687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1" t="s">
        <v>1</v>
      </c>
      <c r="B3" s="1" t="s">
        <v>113</v>
      </c>
      <c r="C3" s="1"/>
      <c r="D3" s="1"/>
      <c r="E3" s="1" t="s">
        <v>114</v>
      </c>
      <c r="F3" s="1"/>
      <c r="G3" s="1"/>
      <c r="H3" s="1"/>
    </row>
    <row r="4" spans="1:8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 x14ac:dyDescent="0.25">
      <c r="A5" s="1" t="s">
        <v>5</v>
      </c>
      <c r="B5" s="1" t="s">
        <v>78</v>
      </c>
      <c r="C5" s="1"/>
      <c r="D5" s="1"/>
      <c r="E5" s="1"/>
      <c r="F5" s="1"/>
      <c r="G5" s="1"/>
      <c r="H5" s="1"/>
    </row>
    <row r="6" spans="1:8" x14ac:dyDescent="0.25">
      <c r="A6" s="1" t="s">
        <v>7</v>
      </c>
      <c r="B6" s="1" t="s">
        <v>47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30" x14ac:dyDescent="0.25">
      <c r="A8" s="23" t="s">
        <v>8</v>
      </c>
      <c r="B8" s="25" t="s">
        <v>9</v>
      </c>
      <c r="C8" s="26"/>
      <c r="D8" s="27"/>
      <c r="E8" s="25" t="s">
        <v>10</v>
      </c>
      <c r="F8" s="27"/>
      <c r="G8" s="2" t="s">
        <v>11</v>
      </c>
      <c r="H8" s="3" t="s">
        <v>12</v>
      </c>
    </row>
    <row r="9" spans="1:8" ht="30" x14ac:dyDescent="0.25">
      <c r="A9" s="24"/>
      <c r="B9" s="4" t="s">
        <v>13</v>
      </c>
      <c r="C9" s="5" t="s">
        <v>14</v>
      </c>
      <c r="D9" s="5" t="s">
        <v>15</v>
      </c>
      <c r="E9" s="5" t="s">
        <v>14</v>
      </c>
      <c r="F9" s="5" t="s">
        <v>16</v>
      </c>
      <c r="G9" s="6" t="s">
        <v>17</v>
      </c>
      <c r="H9" s="7" t="s">
        <v>18</v>
      </c>
    </row>
    <row r="10" spans="1:8" x14ac:dyDescent="0.25">
      <c r="A10" s="8" t="s">
        <v>112</v>
      </c>
      <c r="B10" s="10">
        <v>1000</v>
      </c>
      <c r="C10" s="10" t="s">
        <v>36</v>
      </c>
      <c r="D10" s="20"/>
      <c r="E10" s="10" t="s">
        <v>36</v>
      </c>
      <c r="F10" s="10">
        <v>5000</v>
      </c>
      <c r="G10" s="20">
        <f>SUM(D10/B10)</f>
        <v>0</v>
      </c>
      <c r="H10" s="20">
        <f>SUM(G10*F10)</f>
        <v>0</v>
      </c>
    </row>
    <row r="11" spans="1:8" x14ac:dyDescent="0.25">
      <c r="A11" s="8" t="s">
        <v>80</v>
      </c>
      <c r="B11" s="10">
        <v>1000</v>
      </c>
      <c r="C11" s="10" t="s">
        <v>36</v>
      </c>
      <c r="D11" s="20"/>
      <c r="E11" s="10" t="s">
        <v>36</v>
      </c>
      <c r="F11" s="10">
        <v>300</v>
      </c>
      <c r="G11" s="20">
        <f t="shared" ref="G11:G27" si="0">SUM(D11/B11)</f>
        <v>0</v>
      </c>
      <c r="H11" s="20">
        <f t="shared" ref="H11:H27" si="1">SUM(G11*F11)</f>
        <v>0</v>
      </c>
    </row>
    <row r="12" spans="1:8" x14ac:dyDescent="0.25">
      <c r="A12" s="8" t="s">
        <v>81</v>
      </c>
      <c r="B12" s="10">
        <v>1000</v>
      </c>
      <c r="C12" s="10" t="s">
        <v>36</v>
      </c>
      <c r="D12" s="20"/>
      <c r="E12" s="10" t="s">
        <v>36</v>
      </c>
      <c r="F12" s="10">
        <v>200</v>
      </c>
      <c r="G12" s="20">
        <f t="shared" si="0"/>
        <v>0</v>
      </c>
      <c r="H12" s="20">
        <f t="shared" si="1"/>
        <v>0</v>
      </c>
    </row>
    <row r="13" spans="1:8" x14ac:dyDescent="0.25">
      <c r="A13" s="8" t="s">
        <v>82</v>
      </c>
      <c r="B13" s="10">
        <v>1000</v>
      </c>
      <c r="C13" s="10" t="s">
        <v>36</v>
      </c>
      <c r="D13" s="20"/>
      <c r="E13" s="10" t="s">
        <v>36</v>
      </c>
      <c r="F13" s="10">
        <v>200</v>
      </c>
      <c r="G13" s="20">
        <f t="shared" si="0"/>
        <v>0</v>
      </c>
      <c r="H13" s="20">
        <f t="shared" si="1"/>
        <v>0</v>
      </c>
    </row>
    <row r="14" spans="1:8" x14ac:dyDescent="0.25">
      <c r="A14" s="8" t="s">
        <v>83</v>
      </c>
      <c r="B14" s="10">
        <v>1</v>
      </c>
      <c r="C14" s="10" t="s">
        <v>84</v>
      </c>
      <c r="D14" s="20"/>
      <c r="E14" s="10" t="s">
        <v>84</v>
      </c>
      <c r="F14" s="10">
        <v>2</v>
      </c>
      <c r="G14" s="20">
        <f t="shared" si="0"/>
        <v>0</v>
      </c>
      <c r="H14" s="20">
        <f t="shared" si="1"/>
        <v>0</v>
      </c>
    </row>
    <row r="15" spans="1:8" x14ac:dyDescent="0.25">
      <c r="A15" s="8" t="s">
        <v>85</v>
      </c>
      <c r="B15" s="10">
        <v>1</v>
      </c>
      <c r="C15" s="10" t="s">
        <v>38</v>
      </c>
      <c r="D15" s="20"/>
      <c r="E15" s="10" t="s">
        <v>38</v>
      </c>
      <c r="F15" s="10">
        <v>1</v>
      </c>
      <c r="G15" s="20">
        <f t="shared" si="0"/>
        <v>0</v>
      </c>
      <c r="H15" s="20">
        <f t="shared" si="1"/>
        <v>0</v>
      </c>
    </row>
    <row r="16" spans="1:8" x14ac:dyDescent="0.25">
      <c r="A16" s="8" t="s">
        <v>86</v>
      </c>
      <c r="B16" s="10">
        <v>1000</v>
      </c>
      <c r="C16" s="10" t="s">
        <v>36</v>
      </c>
      <c r="D16" s="20"/>
      <c r="E16" s="10" t="s">
        <v>36</v>
      </c>
      <c r="F16" s="10">
        <v>500</v>
      </c>
      <c r="G16" s="20">
        <f t="shared" si="0"/>
        <v>0</v>
      </c>
      <c r="H16" s="20">
        <f t="shared" si="1"/>
        <v>0</v>
      </c>
    </row>
    <row r="17" spans="1:8" x14ac:dyDescent="0.25">
      <c r="A17" s="8" t="s">
        <v>87</v>
      </c>
      <c r="B17" s="10">
        <v>1000</v>
      </c>
      <c r="C17" s="10" t="s">
        <v>36</v>
      </c>
      <c r="D17" s="20"/>
      <c r="E17" s="10" t="s">
        <v>36</v>
      </c>
      <c r="F17" s="10">
        <v>500</v>
      </c>
      <c r="G17" s="20">
        <f t="shared" si="0"/>
        <v>0</v>
      </c>
      <c r="H17" s="20">
        <f t="shared" si="1"/>
        <v>0</v>
      </c>
    </row>
    <row r="18" spans="1:8" x14ac:dyDescent="0.25">
      <c r="A18" s="8" t="s">
        <v>88</v>
      </c>
      <c r="B18" s="10">
        <v>300</v>
      </c>
      <c r="C18" s="10" t="s">
        <v>36</v>
      </c>
      <c r="D18" s="20"/>
      <c r="E18" s="10" t="s">
        <v>36</v>
      </c>
      <c r="F18" s="10">
        <v>40</v>
      </c>
      <c r="G18" s="20">
        <f t="shared" si="0"/>
        <v>0</v>
      </c>
      <c r="H18" s="20">
        <f t="shared" si="1"/>
        <v>0</v>
      </c>
    </row>
    <row r="19" spans="1:8" x14ac:dyDescent="0.25">
      <c r="A19" s="8" t="s">
        <v>89</v>
      </c>
      <c r="B19" s="10">
        <v>1000</v>
      </c>
      <c r="C19" s="10" t="s">
        <v>36</v>
      </c>
      <c r="D19" s="20"/>
      <c r="E19" s="10" t="s">
        <v>36</v>
      </c>
      <c r="F19" s="10">
        <v>20</v>
      </c>
      <c r="G19" s="20">
        <f t="shared" si="0"/>
        <v>0</v>
      </c>
      <c r="H19" s="20">
        <f t="shared" si="1"/>
        <v>0</v>
      </c>
    </row>
    <row r="20" spans="1:8" x14ac:dyDescent="0.25">
      <c r="A20" s="8" t="s">
        <v>90</v>
      </c>
      <c r="B20" s="10">
        <v>5</v>
      </c>
      <c r="C20" s="10" t="s">
        <v>36</v>
      </c>
      <c r="D20" s="20"/>
      <c r="E20" s="10" t="s">
        <v>36</v>
      </c>
      <c r="F20" s="10">
        <v>30</v>
      </c>
      <c r="G20" s="20">
        <f t="shared" si="0"/>
        <v>0</v>
      </c>
      <c r="H20" s="20">
        <f t="shared" si="1"/>
        <v>0</v>
      </c>
    </row>
    <row r="21" spans="1:8" x14ac:dyDescent="0.25">
      <c r="A21" s="8" t="s">
        <v>91</v>
      </c>
      <c r="B21" s="10">
        <v>1</v>
      </c>
      <c r="C21" s="10" t="s">
        <v>38</v>
      </c>
      <c r="D21" s="20"/>
      <c r="E21" s="10" t="s">
        <v>38</v>
      </c>
      <c r="F21" s="10">
        <v>5</v>
      </c>
      <c r="G21" s="20">
        <f t="shared" si="0"/>
        <v>0</v>
      </c>
      <c r="H21" s="20">
        <f t="shared" si="1"/>
        <v>0</v>
      </c>
    </row>
    <row r="22" spans="1:8" x14ac:dyDescent="0.25">
      <c r="A22" s="8" t="s">
        <v>34</v>
      </c>
      <c r="B22" s="10">
        <v>5000</v>
      </c>
      <c r="C22" s="10" t="s">
        <v>40</v>
      </c>
      <c r="D22" s="20"/>
      <c r="E22" s="10" t="s">
        <v>40</v>
      </c>
      <c r="F22" s="10">
        <v>300</v>
      </c>
      <c r="G22" s="20">
        <f t="shared" si="0"/>
        <v>0</v>
      </c>
      <c r="H22" s="20">
        <f t="shared" si="1"/>
        <v>0</v>
      </c>
    </row>
    <row r="23" spans="1:8" x14ac:dyDescent="0.25">
      <c r="A23" s="8" t="s">
        <v>29</v>
      </c>
      <c r="B23" s="10">
        <v>760</v>
      </c>
      <c r="C23" s="10" t="s">
        <v>40</v>
      </c>
      <c r="D23" s="20"/>
      <c r="E23" s="10" t="s">
        <v>40</v>
      </c>
      <c r="F23" s="10">
        <v>60</v>
      </c>
      <c r="G23" s="20">
        <f t="shared" si="0"/>
        <v>0</v>
      </c>
      <c r="H23" s="20">
        <f t="shared" si="1"/>
        <v>0</v>
      </c>
    </row>
    <row r="24" spans="1:8" x14ac:dyDescent="0.25">
      <c r="A24" s="8" t="s">
        <v>20</v>
      </c>
      <c r="B24" s="10">
        <v>1000</v>
      </c>
      <c r="C24" s="10" t="s">
        <v>36</v>
      </c>
      <c r="D24" s="20"/>
      <c r="E24" s="10" t="s">
        <v>36</v>
      </c>
      <c r="F24" s="10">
        <v>80</v>
      </c>
      <c r="G24" s="20">
        <f t="shared" si="0"/>
        <v>0</v>
      </c>
      <c r="H24" s="20">
        <f t="shared" si="1"/>
        <v>0</v>
      </c>
    </row>
    <row r="25" spans="1:8" x14ac:dyDescent="0.25">
      <c r="A25" s="8" t="s">
        <v>58</v>
      </c>
      <c r="B25" s="10">
        <v>1000</v>
      </c>
      <c r="C25" s="10" t="s">
        <v>36</v>
      </c>
      <c r="D25" s="20"/>
      <c r="E25" s="10" t="s">
        <v>36</v>
      </c>
      <c r="F25" s="10">
        <v>150</v>
      </c>
      <c r="G25" s="20">
        <f t="shared" si="0"/>
        <v>0</v>
      </c>
      <c r="H25" s="20">
        <f t="shared" si="1"/>
        <v>0</v>
      </c>
    </row>
    <row r="26" spans="1:8" x14ac:dyDescent="0.25">
      <c r="A26" s="8" t="s">
        <v>92</v>
      </c>
      <c r="B26" s="10">
        <v>500</v>
      </c>
      <c r="C26" s="10" t="s">
        <v>40</v>
      </c>
      <c r="D26" s="20"/>
      <c r="E26" s="10" t="s">
        <v>40</v>
      </c>
      <c r="F26" s="10">
        <v>20</v>
      </c>
      <c r="G26" s="20">
        <f t="shared" si="0"/>
        <v>0</v>
      </c>
      <c r="H26" s="20">
        <f t="shared" si="1"/>
        <v>0</v>
      </c>
    </row>
    <row r="27" spans="1:8" x14ac:dyDescent="0.25">
      <c r="A27" s="8" t="s">
        <v>55</v>
      </c>
      <c r="B27" s="10">
        <v>1000</v>
      </c>
      <c r="C27" s="10" t="s">
        <v>40</v>
      </c>
      <c r="D27" s="20"/>
      <c r="E27" s="10" t="s">
        <v>40</v>
      </c>
      <c r="F27" s="10">
        <v>2000</v>
      </c>
      <c r="G27" s="20">
        <f t="shared" si="0"/>
        <v>0</v>
      </c>
      <c r="H27" s="20">
        <f t="shared" si="1"/>
        <v>0</v>
      </c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G30" s="9" t="s">
        <v>93</v>
      </c>
      <c r="H30" s="20">
        <f>SUM(H10:H27)</f>
        <v>0</v>
      </c>
    </row>
    <row r="31" spans="1:8" x14ac:dyDescent="0.25">
      <c r="G31" s="9" t="s">
        <v>94</v>
      </c>
      <c r="H31" s="20">
        <f>SUM(H30*20/100)</f>
        <v>0</v>
      </c>
    </row>
    <row r="32" spans="1:8" x14ac:dyDescent="0.25">
      <c r="G32" s="9" t="s">
        <v>95</v>
      </c>
      <c r="H32" s="20">
        <f>SUM(H30:H31)</f>
        <v>0</v>
      </c>
    </row>
    <row r="33" spans="1:8" x14ac:dyDescent="0.25">
      <c r="G33" s="9" t="s">
        <v>96</v>
      </c>
      <c r="H33" s="9"/>
    </row>
    <row r="34" spans="1:8" x14ac:dyDescent="0.25">
      <c r="G34" s="9" t="s">
        <v>97</v>
      </c>
      <c r="H34" s="20">
        <f>SUM(H32*100/30)</f>
        <v>0</v>
      </c>
    </row>
    <row r="35" spans="1:8" x14ac:dyDescent="0.25">
      <c r="A35" t="s">
        <v>98</v>
      </c>
      <c r="G35" s="9"/>
      <c r="H35" s="9"/>
    </row>
    <row r="36" spans="1:8" x14ac:dyDescent="0.25">
      <c r="A36" t="s">
        <v>115</v>
      </c>
    </row>
    <row r="37" spans="1:8" x14ac:dyDescent="0.25">
      <c r="A37" t="s">
        <v>100</v>
      </c>
    </row>
    <row r="38" spans="1:8" x14ac:dyDescent="0.25">
      <c r="A38" t="s">
        <v>101</v>
      </c>
    </row>
    <row r="39" spans="1:8" x14ac:dyDescent="0.25">
      <c r="A39" t="s">
        <v>102</v>
      </c>
    </row>
    <row r="40" spans="1:8" x14ac:dyDescent="0.25">
      <c r="A40" t="s">
        <v>103</v>
      </c>
    </row>
    <row r="41" spans="1:8" x14ac:dyDescent="0.25">
      <c r="A41" t="s">
        <v>104</v>
      </c>
    </row>
    <row r="42" spans="1:8" x14ac:dyDescent="0.25">
      <c r="A42" t="s">
        <v>105</v>
      </c>
    </row>
    <row r="43" spans="1:8" x14ac:dyDescent="0.25">
      <c r="A43" t="s">
        <v>106</v>
      </c>
    </row>
    <row r="44" spans="1:8" x14ac:dyDescent="0.25">
      <c r="A44" t="s">
        <v>107</v>
      </c>
    </row>
    <row r="45" spans="1:8" x14ac:dyDescent="0.25">
      <c r="A45" t="s">
        <v>108</v>
      </c>
    </row>
    <row r="46" spans="1:8" x14ac:dyDescent="0.25">
      <c r="A46" t="s">
        <v>109</v>
      </c>
    </row>
    <row r="47" spans="1:8" x14ac:dyDescent="0.25">
      <c r="A47" t="s">
        <v>110</v>
      </c>
    </row>
    <row r="48" spans="1:8" x14ac:dyDescent="0.25">
      <c r="A48" t="s">
        <v>111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34C9-53D4-42D2-B8E9-439B772EB370}">
  <dimension ref="A1"/>
  <sheetViews>
    <sheetView workbookViewId="0">
      <selection activeCell="K15" sqref="K15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9C5A-566E-4EF3-8D38-CA2E408EC4F6}">
  <dimension ref="A1"/>
  <sheetViews>
    <sheetView workbookViewId="0">
      <selection activeCell="K22" sqref="K22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D29D-E582-4B8B-8BA9-BB2C5AED6E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AE1A-CAC9-443B-B72D-C9EFFD51A659}">
  <dimension ref="A1"/>
  <sheetViews>
    <sheetView workbookViewId="0">
      <selection activeCell="L19" sqref="L19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21E7-FEFA-4E3B-84BC-ACCE6D1FE2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C7E0-4F76-4663-9F4B-C1108734008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C2FE-0CF8-483C-A625-D7F34D4251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chickenroasted</vt:lpstr>
      <vt:lpstr>chickencanton</vt:lpstr>
      <vt:lpstr>pekingduck</vt:lpstr>
      <vt:lpstr>chickencordonbleu</vt:lpstr>
      <vt:lpstr>chikenkolokebonein</vt:lpstr>
      <vt:lpstr>chickenblackpeppersc</vt:lpstr>
      <vt:lpstr>chickenkolokebonelesschicken</vt:lpstr>
      <vt:lpstr>chickengulai</vt:lpstr>
      <vt:lpstr>chickenlodho</vt:lpstr>
      <vt:lpstr>chickenopor</vt:lpstr>
      <vt:lpstr>chickenpanggang</vt:lpstr>
      <vt:lpstr>chickenricarica</vt:lpstr>
      <vt:lpstr>chickenbalado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2025-01-04T02:41:20Z</cp:lastPrinted>
  <dcterms:created xsi:type="dcterms:W3CDTF">2024-08-31T09:56:27Z</dcterms:created>
  <dcterms:modified xsi:type="dcterms:W3CDTF">2025-01-04T03:32:00Z</dcterms:modified>
</cp:coreProperties>
</file>