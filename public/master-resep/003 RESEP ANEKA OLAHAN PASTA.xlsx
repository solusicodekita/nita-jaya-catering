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ERJA NITA JAYA\FILE RESEP INDUK NITA JAYA CATERING SERVICE\RESEP INDUK\"/>
    </mc:Choice>
  </mc:AlternateContent>
  <xr:revisionPtr revIDLastSave="0" documentId="13_ncr:1_{046C7A35-B0EC-4E56-8B18-95415C4F44FD}" xr6:coauthVersionLast="47" xr6:coauthVersionMax="47" xr10:uidLastSave="{00000000-0000-0000-0000-000000000000}"/>
  <bookViews>
    <workbookView xWindow="-120" yWindow="-120" windowWidth="20730" windowHeight="11160" activeTab="3" xr2:uid="{3DD687BE-DD06-41F9-A083-F1CABB99C533}"/>
  </bookViews>
  <sheets>
    <sheet name="sausbolognaise" sheetId="1" r:id="rId1"/>
    <sheet name="sausconccase" sheetId="2" r:id="rId2"/>
    <sheet name="sauscarbonara" sheetId="3" r:id="rId3"/>
    <sheet name="sausmariar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3" l="1"/>
  <c r="H21" i="3"/>
  <c r="H20" i="3"/>
  <c r="H19" i="3"/>
  <c r="H16" i="3"/>
  <c r="H11" i="3"/>
  <c r="H12" i="3"/>
  <c r="H13" i="3"/>
  <c r="H14" i="3"/>
  <c r="H15" i="3"/>
  <c r="G11" i="3"/>
  <c r="G12" i="3"/>
  <c r="G13" i="3"/>
  <c r="G14" i="3"/>
  <c r="G15" i="3"/>
  <c r="G16" i="3"/>
  <c r="H10" i="3"/>
  <c r="G10" i="3"/>
  <c r="H32" i="1"/>
  <c r="H30" i="1"/>
  <c r="H29" i="1"/>
  <c r="H28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H11" i="1"/>
  <c r="G11" i="1"/>
  <c r="H25" i="2"/>
  <c r="H26" i="2" s="1"/>
  <c r="H29" i="2" l="1"/>
</calcChain>
</file>

<file path=xl/sharedStrings.xml><?xml version="1.0" encoding="utf-8"?>
<sst xmlns="http://schemas.openxmlformats.org/spreadsheetml/2006/main" count="261" uniqueCount="103">
  <si>
    <t>NITA JAYA CATERING SERVICE</t>
  </si>
  <si>
    <t>Recipe number          :</t>
  </si>
  <si>
    <t>Property                       :</t>
  </si>
  <si>
    <t>Nita Jaya Catering Service</t>
  </si>
  <si>
    <t>Category                       :</t>
  </si>
  <si>
    <t>Yield                               :</t>
  </si>
  <si>
    <t>Ingredients</t>
  </si>
  <si>
    <t>Convertion</t>
  </si>
  <si>
    <t>Used</t>
  </si>
  <si>
    <t>Price Unit</t>
  </si>
  <si>
    <t xml:space="preserve">Total </t>
  </si>
  <si>
    <t>Pack Store</t>
  </si>
  <si>
    <t>Unit</t>
  </si>
  <si>
    <t>Price</t>
  </si>
  <si>
    <t>Qty</t>
  </si>
  <si>
    <t>used in gr</t>
  </si>
  <si>
    <t>Cost</t>
  </si>
  <si>
    <t>ground beef</t>
  </si>
  <si>
    <t>kilos</t>
  </si>
  <si>
    <t>kg</t>
  </si>
  <si>
    <t>gr</t>
  </si>
  <si>
    <t>onion</t>
  </si>
  <si>
    <t>garlic</t>
  </si>
  <si>
    <t>carrot</t>
  </si>
  <si>
    <t>celery</t>
  </si>
  <si>
    <t>tomato paste</t>
  </si>
  <si>
    <t>tomato fresh</t>
  </si>
  <si>
    <t>can</t>
  </si>
  <si>
    <t>dried oregano</t>
  </si>
  <si>
    <t>dried thime</t>
  </si>
  <si>
    <t>botol</t>
  </si>
  <si>
    <t>salt</t>
  </si>
  <si>
    <t>pepper powder</t>
  </si>
  <si>
    <t>sugar</t>
  </si>
  <si>
    <t>bay leaves</t>
  </si>
  <si>
    <t>flour</t>
  </si>
  <si>
    <t>royco</t>
  </si>
  <si>
    <t>pcs</t>
  </si>
  <si>
    <t>total cost 2</t>
  </si>
  <si>
    <t>total cost 1</t>
  </si>
  <si>
    <t>cost faktor 20 %</t>
  </si>
  <si>
    <t>cost profit</t>
  </si>
  <si>
    <t>selling price</t>
  </si>
  <si>
    <t>cooking method:</t>
  </si>
  <si>
    <t>1 . Sauted ground until brown colour</t>
  </si>
  <si>
    <t>2 . Chopping: onion, garlic ,carrot , celery</t>
  </si>
  <si>
    <t>3 . Coarse chop tomato fresh</t>
  </si>
  <si>
    <t>4 . Sauted mirepoix ( onion, garlic, carrot, celery), put bay leave, saute until fragrant.</t>
  </si>
  <si>
    <t xml:space="preserve">5 . Put some ground beef, tomato paste , fine stir, than put some flour, well stir than some water </t>
  </si>
  <si>
    <t xml:space="preserve">      less than 2 liter.</t>
  </si>
  <si>
    <t>6 . Put some coarse chop tomato fresh, dried oregano, thime, pepper powder, sugar, royco.</t>
  </si>
  <si>
    <t xml:space="preserve">7 . Stir well and bring to simer until sauce become thick. ocasion </t>
  </si>
  <si>
    <t xml:space="preserve">tomato paste </t>
  </si>
  <si>
    <t>dried bay leaves</t>
  </si>
  <si>
    <t>dried thyme</t>
  </si>
  <si>
    <t>dried basil/fresh</t>
  </si>
  <si>
    <t>btl/gr</t>
  </si>
  <si>
    <t>water</t>
  </si>
  <si>
    <t>cooking  oil</t>
  </si>
  <si>
    <t>tomato fres</t>
  </si>
  <si>
    <t>liter</t>
  </si>
  <si>
    <t>ml</t>
  </si>
  <si>
    <t>Cooking  method</t>
  </si>
  <si>
    <t>1 . Clean tomato from  the stem, cut half quarter</t>
  </si>
  <si>
    <t>2 . Boil water, bring tomato to  boil less than 1 - 2 minute, lift and bring to ice water.</t>
  </si>
  <si>
    <t>3 . Skinless and seed less the tomato  and coarse chop</t>
  </si>
  <si>
    <t>shalot</t>
  </si>
  <si>
    <t>4 . Chop some onion,garlic,shalot, and basil ( if use fresh basil)</t>
  </si>
  <si>
    <t>5 . Prepare large wok or pot sauce, fire on, put some oil cooking, put some choped onion,  garlic,</t>
  </si>
  <si>
    <t xml:space="preserve">     shalot and bay leaves. Sauteing until fragrant and put some tomato paste</t>
  </si>
  <si>
    <t>6 . Put toamto  coarse and put some water. Stir well and put remaind ingredients.</t>
  </si>
  <si>
    <t>7 . Bring to simer fire , occasion stir well until sauce become tick.</t>
  </si>
  <si>
    <t>003/sauspasta/NT/2024</t>
  </si>
  <si>
    <t>Saus</t>
  </si>
  <si>
    <t>100 prt</t>
  </si>
  <si>
    <t>Nama  : saus carbonara</t>
  </si>
  <si>
    <t>002/sauspasta/NT/2024</t>
  </si>
  <si>
    <t>Nama  : Saus Conccase</t>
  </si>
  <si>
    <t>001/sauspasta/NT/2024</t>
  </si>
  <si>
    <t>saus pasta</t>
  </si>
  <si>
    <t>Nama  : saus bolognaise</t>
  </si>
  <si>
    <t>smoked beef</t>
  </si>
  <si>
    <t>fresh milk</t>
  </si>
  <si>
    <t>cheese</t>
  </si>
  <si>
    <t>margarine</t>
  </si>
  <si>
    <t>masako powder</t>
  </si>
  <si>
    <t>total  cost</t>
  </si>
  <si>
    <t>cost vactor 20 %</t>
  </si>
  <si>
    <t>cost  price 30%</t>
  </si>
  <si>
    <t>selling prize</t>
  </si>
  <si>
    <t>method:</t>
  </si>
  <si>
    <t xml:space="preserve">1 mixed together  flour and margarine  in wok, use small fire , cooking it until margarine melting and put in </t>
  </si>
  <si>
    <t xml:space="preserve">   some flour , stir well </t>
  </si>
  <si>
    <t>2  pour 500ml water stir well until the roux become mixture with water than pour remain of the water stir</t>
  </si>
  <si>
    <t xml:space="preserve">    well until the suace become thick.</t>
  </si>
  <si>
    <t>3  cut smoked beef into small square , grating some cheese than pour all in to saus.</t>
  </si>
  <si>
    <t>4  seasoning use masako powder.</t>
  </si>
  <si>
    <t>004/sauspasta/NT/2024</t>
  </si>
  <si>
    <t>Nama  : saus marinara</t>
  </si>
  <si>
    <t>conccase sauce</t>
  </si>
  <si>
    <t>srimp</t>
  </si>
  <si>
    <t>squid</t>
  </si>
  <si>
    <t>cooking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</si>
</sst>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6" xfId="0" applyFont="1" applyFill="1" applyBorder="1"/>
    <xf numFmtId="0" fontId="0" fillId="0" borderId="6" xfId="0" applyBorder="1"/>
    <xf numFmtId="0" fontId="1" fillId="0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/>
    <xf numFmtId="0" fontId="0" fillId="0" borderId="6" xfId="0" applyFont="1" applyBorder="1"/>
    <xf numFmtId="42" fontId="0" fillId="0" borderId="6" xfId="0" applyNumberForma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CDEC-3B5D-4811-A71A-C24B4070D286}">
  <dimension ref="A2:H41"/>
  <sheetViews>
    <sheetView topLeftCell="A20" workbookViewId="0">
      <selection activeCell="B41" sqref="B41"/>
    </sheetView>
  </sheetViews>
  <sheetFormatPr defaultRowHeight="15" x14ac:dyDescent="0.25"/>
  <cols>
    <col min="1" max="1" width="18" customWidth="1"/>
    <col min="3" max="3" width="6.5703125" customWidth="1"/>
    <col min="5" max="5" width="6.28515625" customWidth="1"/>
    <col min="7" max="7" width="15.42578125" customWidth="1"/>
    <col min="8" max="8" width="18.42578125" customWidth="1"/>
  </cols>
  <sheetData>
    <row r="2" spans="1:8" x14ac:dyDescent="0.25">
      <c r="A2" s="14" t="s">
        <v>0</v>
      </c>
      <c r="B2" s="14"/>
      <c r="C2" s="14"/>
      <c r="D2" s="14"/>
      <c r="E2" s="14"/>
      <c r="F2" s="14"/>
      <c r="G2" s="14"/>
      <c r="H2" s="14"/>
    </row>
    <row r="4" spans="1:8" x14ac:dyDescent="0.25">
      <c r="A4" s="1" t="s">
        <v>1</v>
      </c>
      <c r="B4" s="1" t="s">
        <v>78</v>
      </c>
      <c r="C4" s="1"/>
      <c r="D4" s="1"/>
      <c r="E4" s="1"/>
      <c r="F4" s="1" t="s">
        <v>80</v>
      </c>
      <c r="G4" s="1"/>
      <c r="H4" s="1"/>
    </row>
    <row r="5" spans="1:8" x14ac:dyDescent="0.25">
      <c r="A5" s="1" t="s">
        <v>2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 t="s">
        <v>79</v>
      </c>
      <c r="C6" s="1"/>
      <c r="D6" s="1"/>
      <c r="E6" s="1"/>
      <c r="F6" s="1"/>
      <c r="G6" s="1"/>
      <c r="H6" s="1"/>
    </row>
    <row r="7" spans="1:8" x14ac:dyDescent="0.25">
      <c r="A7" s="1" t="s">
        <v>5</v>
      </c>
      <c r="B7" s="1" t="s">
        <v>74</v>
      </c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5" t="s">
        <v>6</v>
      </c>
      <c r="B9" s="17" t="s">
        <v>7</v>
      </c>
      <c r="C9" s="18"/>
      <c r="D9" s="19"/>
      <c r="E9" s="17" t="s">
        <v>8</v>
      </c>
      <c r="F9" s="19"/>
      <c r="G9" s="2" t="s">
        <v>9</v>
      </c>
      <c r="H9" s="2" t="s">
        <v>10</v>
      </c>
    </row>
    <row r="10" spans="1:8" ht="30" x14ac:dyDescent="0.25">
      <c r="A10" s="16"/>
      <c r="B10" s="3" t="s">
        <v>11</v>
      </c>
      <c r="C10" s="4" t="s">
        <v>12</v>
      </c>
      <c r="D10" s="4" t="s">
        <v>13</v>
      </c>
      <c r="E10" s="4" t="s">
        <v>12</v>
      </c>
      <c r="F10" s="4" t="s">
        <v>14</v>
      </c>
      <c r="G10" s="5" t="s">
        <v>15</v>
      </c>
      <c r="H10" s="5" t="s">
        <v>16</v>
      </c>
    </row>
    <row r="11" spans="1:8" x14ac:dyDescent="0.25">
      <c r="A11" s="6" t="s">
        <v>17</v>
      </c>
      <c r="B11" s="9">
        <v>1000</v>
      </c>
      <c r="C11" s="10" t="s">
        <v>20</v>
      </c>
      <c r="D11" s="8"/>
      <c r="E11" s="10" t="s">
        <v>20</v>
      </c>
      <c r="F11" s="8">
        <v>2000</v>
      </c>
      <c r="G11" s="13">
        <f>SUM(D11/B11)</f>
        <v>0</v>
      </c>
      <c r="H11" s="13">
        <f>SUM(G11*F11)</f>
        <v>0</v>
      </c>
    </row>
    <row r="12" spans="1:8" x14ac:dyDescent="0.25">
      <c r="A12" s="6" t="s">
        <v>21</v>
      </c>
      <c r="B12" s="9">
        <v>1000</v>
      </c>
      <c r="C12" s="10" t="s">
        <v>20</v>
      </c>
      <c r="D12" s="8"/>
      <c r="E12" s="10" t="s">
        <v>20</v>
      </c>
      <c r="F12" s="8">
        <v>300</v>
      </c>
      <c r="G12" s="13">
        <f t="shared" ref="G12:G25" si="0">SUM(D12/B12)</f>
        <v>0</v>
      </c>
      <c r="H12" s="13">
        <f t="shared" ref="H12:H25" si="1">SUM(G12*F12)</f>
        <v>0</v>
      </c>
    </row>
    <row r="13" spans="1:8" x14ac:dyDescent="0.25">
      <c r="A13" s="6" t="s">
        <v>22</v>
      </c>
      <c r="B13" s="9">
        <v>1000</v>
      </c>
      <c r="C13" s="10" t="s">
        <v>20</v>
      </c>
      <c r="D13" s="8"/>
      <c r="E13" s="10" t="s">
        <v>20</v>
      </c>
      <c r="F13" s="8">
        <v>80</v>
      </c>
      <c r="G13" s="13">
        <f t="shared" si="0"/>
        <v>0</v>
      </c>
      <c r="H13" s="13">
        <f t="shared" si="1"/>
        <v>0</v>
      </c>
    </row>
    <row r="14" spans="1:8" x14ac:dyDescent="0.25">
      <c r="A14" s="6" t="s">
        <v>23</v>
      </c>
      <c r="B14" s="9">
        <v>1000</v>
      </c>
      <c r="C14" s="10" t="s">
        <v>20</v>
      </c>
      <c r="D14" s="8"/>
      <c r="E14" s="10" t="s">
        <v>20</v>
      </c>
      <c r="F14" s="8">
        <v>100</v>
      </c>
      <c r="G14" s="13">
        <f t="shared" si="0"/>
        <v>0</v>
      </c>
      <c r="H14" s="13">
        <f t="shared" si="1"/>
        <v>0</v>
      </c>
    </row>
    <row r="15" spans="1:8" x14ac:dyDescent="0.25">
      <c r="A15" s="6" t="s">
        <v>24</v>
      </c>
      <c r="B15" s="9">
        <v>1000</v>
      </c>
      <c r="C15" s="10" t="s">
        <v>20</v>
      </c>
      <c r="D15" s="8"/>
      <c r="E15" s="10" t="s">
        <v>20</v>
      </c>
      <c r="F15" s="8">
        <v>80</v>
      </c>
      <c r="G15" s="13">
        <f t="shared" si="0"/>
        <v>0</v>
      </c>
      <c r="H15" s="13">
        <f t="shared" si="1"/>
        <v>0</v>
      </c>
    </row>
    <row r="16" spans="1:8" x14ac:dyDescent="0.25">
      <c r="A16" s="6" t="s">
        <v>25</v>
      </c>
      <c r="B16" s="9">
        <v>50</v>
      </c>
      <c r="C16" s="10" t="s">
        <v>20</v>
      </c>
      <c r="D16" s="8"/>
      <c r="E16" s="10" t="s">
        <v>20</v>
      </c>
      <c r="F16" s="8">
        <v>200</v>
      </c>
      <c r="G16" s="13">
        <f t="shared" si="0"/>
        <v>0</v>
      </c>
      <c r="H16" s="13">
        <f t="shared" si="1"/>
        <v>0</v>
      </c>
    </row>
    <row r="17" spans="1:8" x14ac:dyDescent="0.25">
      <c r="A17" s="6" t="s">
        <v>26</v>
      </c>
      <c r="B17" s="9">
        <v>1000</v>
      </c>
      <c r="C17" s="10" t="s">
        <v>20</v>
      </c>
      <c r="D17" s="8"/>
      <c r="E17" s="10" t="s">
        <v>20</v>
      </c>
      <c r="F17" s="8">
        <v>300</v>
      </c>
      <c r="G17" s="13">
        <f t="shared" si="0"/>
        <v>0</v>
      </c>
      <c r="H17" s="13">
        <f t="shared" si="1"/>
        <v>0</v>
      </c>
    </row>
    <row r="18" spans="1:8" x14ac:dyDescent="0.25">
      <c r="A18" s="6" t="s">
        <v>28</v>
      </c>
      <c r="B18" s="9">
        <v>20</v>
      </c>
      <c r="C18" s="10" t="s">
        <v>20</v>
      </c>
      <c r="D18" s="8"/>
      <c r="E18" s="10" t="s">
        <v>20</v>
      </c>
      <c r="F18" s="8">
        <v>5</v>
      </c>
      <c r="G18" s="13">
        <f t="shared" si="0"/>
        <v>0</v>
      </c>
      <c r="H18" s="13">
        <f t="shared" si="1"/>
        <v>0</v>
      </c>
    </row>
    <row r="19" spans="1:8" x14ac:dyDescent="0.25">
      <c r="A19" s="6" t="s">
        <v>29</v>
      </c>
      <c r="B19" s="9">
        <v>20</v>
      </c>
      <c r="C19" s="10" t="s">
        <v>20</v>
      </c>
      <c r="D19" s="8"/>
      <c r="E19" s="10" t="s">
        <v>20</v>
      </c>
      <c r="F19" s="8">
        <v>5</v>
      </c>
      <c r="G19" s="13">
        <f t="shared" si="0"/>
        <v>0</v>
      </c>
      <c r="H19" s="13">
        <f t="shared" si="1"/>
        <v>0</v>
      </c>
    </row>
    <row r="20" spans="1:8" x14ac:dyDescent="0.25">
      <c r="A20" s="6" t="s">
        <v>31</v>
      </c>
      <c r="B20" s="9">
        <v>300</v>
      </c>
      <c r="C20" s="10" t="s">
        <v>20</v>
      </c>
      <c r="D20" s="8"/>
      <c r="E20" s="10" t="s">
        <v>20</v>
      </c>
      <c r="F20" s="8">
        <v>20</v>
      </c>
      <c r="G20" s="13">
        <f t="shared" si="0"/>
        <v>0</v>
      </c>
      <c r="H20" s="13">
        <f t="shared" si="1"/>
        <v>0</v>
      </c>
    </row>
    <row r="21" spans="1:8" x14ac:dyDescent="0.25">
      <c r="A21" s="6" t="s">
        <v>32</v>
      </c>
      <c r="B21" s="9">
        <v>1000</v>
      </c>
      <c r="C21" s="10" t="s">
        <v>20</v>
      </c>
      <c r="D21" s="8"/>
      <c r="E21" s="10" t="s">
        <v>20</v>
      </c>
      <c r="F21" s="8">
        <v>10</v>
      </c>
      <c r="G21" s="13">
        <f t="shared" si="0"/>
        <v>0</v>
      </c>
      <c r="H21" s="13">
        <f t="shared" si="1"/>
        <v>0</v>
      </c>
    </row>
    <row r="22" spans="1:8" x14ac:dyDescent="0.25">
      <c r="A22" s="6" t="s">
        <v>33</v>
      </c>
      <c r="B22" s="9">
        <v>1000</v>
      </c>
      <c r="C22" s="10" t="s">
        <v>20</v>
      </c>
      <c r="D22" s="8"/>
      <c r="E22" s="10" t="s">
        <v>20</v>
      </c>
      <c r="F22" s="8">
        <v>30</v>
      </c>
      <c r="G22" s="13">
        <f t="shared" si="0"/>
        <v>0</v>
      </c>
      <c r="H22" s="13">
        <f t="shared" si="1"/>
        <v>0</v>
      </c>
    </row>
    <row r="23" spans="1:8" x14ac:dyDescent="0.25">
      <c r="A23" s="6" t="s">
        <v>34</v>
      </c>
      <c r="B23" s="9">
        <v>5</v>
      </c>
      <c r="C23" s="10" t="s">
        <v>20</v>
      </c>
      <c r="D23" s="8"/>
      <c r="E23" s="10" t="s">
        <v>37</v>
      </c>
      <c r="F23" s="8">
        <v>5</v>
      </c>
      <c r="G23" s="13">
        <f t="shared" si="0"/>
        <v>0</v>
      </c>
      <c r="H23" s="13">
        <f t="shared" si="1"/>
        <v>0</v>
      </c>
    </row>
    <row r="24" spans="1:8" x14ac:dyDescent="0.25">
      <c r="A24" s="6" t="s">
        <v>35</v>
      </c>
      <c r="B24" s="9">
        <v>1000</v>
      </c>
      <c r="C24" s="10" t="s">
        <v>20</v>
      </c>
      <c r="D24" s="8"/>
      <c r="E24" s="10" t="s">
        <v>20</v>
      </c>
      <c r="F24" s="8">
        <v>100</v>
      </c>
      <c r="G24" s="13">
        <f t="shared" si="0"/>
        <v>0</v>
      </c>
      <c r="H24" s="13">
        <f t="shared" si="1"/>
        <v>0</v>
      </c>
    </row>
    <row r="25" spans="1:8" x14ac:dyDescent="0.25">
      <c r="A25" s="6" t="s">
        <v>36</v>
      </c>
      <c r="B25" s="9">
        <v>5</v>
      </c>
      <c r="C25" s="10" t="s">
        <v>20</v>
      </c>
      <c r="D25" s="8"/>
      <c r="E25" s="10" t="s">
        <v>20</v>
      </c>
      <c r="F25" s="8">
        <v>20</v>
      </c>
      <c r="G25" s="13">
        <f t="shared" si="0"/>
        <v>0</v>
      </c>
      <c r="H25" s="13">
        <f t="shared" si="1"/>
        <v>0</v>
      </c>
    </row>
    <row r="26" spans="1:8" x14ac:dyDescent="0.25">
      <c r="A26" s="8"/>
      <c r="B26" s="10"/>
      <c r="C26" s="10"/>
      <c r="D26" s="8"/>
      <c r="E26" s="10"/>
      <c r="F26" s="8"/>
      <c r="G26" s="8"/>
      <c r="H26" s="8"/>
    </row>
    <row r="27" spans="1:8" x14ac:dyDescent="0.25">
      <c r="A27" s="8"/>
      <c r="B27" s="8"/>
      <c r="C27" s="8"/>
      <c r="D27" s="8"/>
      <c r="E27" s="8"/>
      <c r="F27" s="8"/>
      <c r="G27" s="8"/>
      <c r="H27" s="8"/>
    </row>
    <row r="28" spans="1:8" x14ac:dyDescent="0.25">
      <c r="G28" s="8" t="s">
        <v>39</v>
      </c>
      <c r="H28" s="13">
        <f>SUM(H11:H25)</f>
        <v>0</v>
      </c>
    </row>
    <row r="29" spans="1:8" x14ac:dyDescent="0.25">
      <c r="G29" s="8" t="s">
        <v>40</v>
      </c>
      <c r="H29" s="13">
        <f>SUM(H28*20/100)</f>
        <v>0</v>
      </c>
    </row>
    <row r="30" spans="1:8" x14ac:dyDescent="0.25">
      <c r="G30" s="8" t="s">
        <v>38</v>
      </c>
      <c r="H30" s="13">
        <f>SUM(H28:H29)</f>
        <v>0</v>
      </c>
    </row>
    <row r="31" spans="1:8" x14ac:dyDescent="0.25">
      <c r="G31" s="8" t="s">
        <v>41</v>
      </c>
      <c r="H31" s="11">
        <v>0.3</v>
      </c>
    </row>
    <row r="32" spans="1:8" x14ac:dyDescent="0.25">
      <c r="G32" s="8" t="s">
        <v>42</v>
      </c>
      <c r="H32" s="13">
        <f>SUM(H30*100/30)</f>
        <v>0</v>
      </c>
    </row>
    <row r="33" spans="1:8" x14ac:dyDescent="0.25">
      <c r="A33" t="s">
        <v>43</v>
      </c>
      <c r="G33" s="8"/>
      <c r="H33" s="8"/>
    </row>
    <row r="34" spans="1:8" x14ac:dyDescent="0.25">
      <c r="A34" t="s">
        <v>44</v>
      </c>
    </row>
    <row r="35" spans="1:8" x14ac:dyDescent="0.25">
      <c r="A35" t="s">
        <v>45</v>
      </c>
    </row>
    <row r="36" spans="1:8" x14ac:dyDescent="0.25">
      <c r="A36" t="s">
        <v>46</v>
      </c>
    </row>
    <row r="37" spans="1:8" x14ac:dyDescent="0.25">
      <c r="A37" t="s">
        <v>47</v>
      </c>
    </row>
    <row r="38" spans="1:8" x14ac:dyDescent="0.25">
      <c r="A38" t="s">
        <v>48</v>
      </c>
    </row>
    <row r="39" spans="1:8" x14ac:dyDescent="0.25">
      <c r="A39" t="s">
        <v>49</v>
      </c>
    </row>
    <row r="40" spans="1:8" x14ac:dyDescent="0.25">
      <c r="A40" t="s">
        <v>50</v>
      </c>
    </row>
    <row r="41" spans="1:8" x14ac:dyDescent="0.25">
      <c r="A41" t="s">
        <v>51</v>
      </c>
    </row>
  </sheetData>
  <mergeCells count="4">
    <mergeCell ref="A2:H2"/>
    <mergeCell ref="A9:A10"/>
    <mergeCell ref="B9:D9"/>
    <mergeCell ref="E9:F9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D98B-DDBD-4457-B179-116118C4838B}">
  <dimension ref="A2:H38"/>
  <sheetViews>
    <sheetView topLeftCell="A18" workbookViewId="0">
      <selection activeCell="B39" sqref="B39"/>
    </sheetView>
  </sheetViews>
  <sheetFormatPr defaultRowHeight="15" x14ac:dyDescent="0.25"/>
  <cols>
    <col min="1" max="1" width="17.42578125" customWidth="1"/>
    <col min="2" max="2" width="7.7109375" customWidth="1"/>
    <col min="3" max="3" width="6.7109375" customWidth="1"/>
    <col min="4" max="4" width="13.28515625" customWidth="1"/>
    <col min="5" max="5" width="5.85546875" customWidth="1"/>
    <col min="6" max="6" width="8.28515625" customWidth="1"/>
    <col min="7" max="7" width="12.7109375" customWidth="1"/>
    <col min="8" max="8" width="21.85546875" customWidth="1"/>
  </cols>
  <sheetData>
    <row r="2" spans="1:8" x14ac:dyDescent="0.25">
      <c r="A2" s="14" t="s">
        <v>0</v>
      </c>
      <c r="B2" s="14"/>
      <c r="C2" s="14"/>
      <c r="D2" s="14"/>
      <c r="E2" s="14"/>
      <c r="F2" s="14"/>
      <c r="G2" s="14"/>
      <c r="H2" s="14"/>
    </row>
    <row r="4" spans="1:8" x14ac:dyDescent="0.25">
      <c r="A4" s="1" t="s">
        <v>1</v>
      </c>
      <c r="B4" s="1" t="s">
        <v>76</v>
      </c>
      <c r="C4" s="1"/>
      <c r="D4" s="1"/>
      <c r="E4" s="1"/>
      <c r="F4" s="1" t="s">
        <v>77</v>
      </c>
      <c r="G4" s="1"/>
      <c r="H4" s="1"/>
    </row>
    <row r="5" spans="1:8" x14ac:dyDescent="0.25">
      <c r="A5" s="1" t="s">
        <v>2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 t="s">
        <v>79</v>
      </c>
      <c r="C6" s="1"/>
      <c r="D6" s="1"/>
      <c r="E6" s="1"/>
      <c r="F6" s="1"/>
      <c r="G6" s="1"/>
      <c r="H6" s="1"/>
    </row>
    <row r="7" spans="1:8" x14ac:dyDescent="0.25">
      <c r="A7" s="1" t="s">
        <v>5</v>
      </c>
      <c r="B7" s="1" t="s">
        <v>74</v>
      </c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5" t="s">
        <v>6</v>
      </c>
      <c r="B9" s="17" t="s">
        <v>7</v>
      </c>
      <c r="C9" s="18"/>
      <c r="D9" s="19"/>
      <c r="E9" s="17" t="s">
        <v>8</v>
      </c>
      <c r="F9" s="19"/>
      <c r="G9" s="2" t="s">
        <v>9</v>
      </c>
      <c r="H9" s="2" t="s">
        <v>10</v>
      </c>
    </row>
    <row r="10" spans="1:8" ht="30" x14ac:dyDescent="0.25">
      <c r="A10" s="16"/>
      <c r="B10" s="3" t="s">
        <v>11</v>
      </c>
      <c r="C10" s="4" t="s">
        <v>12</v>
      </c>
      <c r="D10" s="4" t="s">
        <v>13</v>
      </c>
      <c r="E10" s="4" t="s">
        <v>12</v>
      </c>
      <c r="F10" s="4" t="s">
        <v>14</v>
      </c>
      <c r="G10" s="5" t="s">
        <v>15</v>
      </c>
      <c r="H10" s="5" t="s">
        <v>16</v>
      </c>
    </row>
    <row r="11" spans="1:8" x14ac:dyDescent="0.25">
      <c r="A11" s="6" t="s">
        <v>59</v>
      </c>
      <c r="B11" s="7" t="s">
        <v>18</v>
      </c>
      <c r="C11" s="8" t="s">
        <v>19</v>
      </c>
      <c r="D11" s="8"/>
      <c r="E11" s="8" t="s">
        <v>20</v>
      </c>
      <c r="F11" s="8"/>
      <c r="G11" s="8"/>
      <c r="H11" s="8"/>
    </row>
    <row r="12" spans="1:8" x14ac:dyDescent="0.25">
      <c r="A12" s="6" t="s">
        <v>52</v>
      </c>
      <c r="B12" s="7" t="s">
        <v>27</v>
      </c>
      <c r="C12" s="8" t="s">
        <v>20</v>
      </c>
      <c r="D12" s="8"/>
      <c r="E12" s="8" t="s">
        <v>20</v>
      </c>
      <c r="F12" s="8"/>
      <c r="G12" s="8"/>
      <c r="H12" s="8"/>
    </row>
    <row r="13" spans="1:8" x14ac:dyDescent="0.25">
      <c r="A13" s="12" t="s">
        <v>21</v>
      </c>
      <c r="B13" s="7" t="s">
        <v>18</v>
      </c>
      <c r="C13" s="8" t="s">
        <v>19</v>
      </c>
      <c r="D13" s="8"/>
      <c r="E13" s="8" t="s">
        <v>20</v>
      </c>
      <c r="F13" s="8"/>
      <c r="G13" s="8"/>
      <c r="H13" s="8"/>
    </row>
    <row r="14" spans="1:8" x14ac:dyDescent="0.25">
      <c r="A14" s="6" t="s">
        <v>22</v>
      </c>
      <c r="B14" s="7" t="s">
        <v>18</v>
      </c>
      <c r="C14" s="8" t="s">
        <v>19</v>
      </c>
      <c r="D14" s="8"/>
      <c r="E14" s="8" t="s">
        <v>20</v>
      </c>
      <c r="F14" s="8"/>
      <c r="G14" s="8"/>
      <c r="H14" s="8"/>
    </row>
    <row r="15" spans="1:8" x14ac:dyDescent="0.25">
      <c r="A15" s="6" t="s">
        <v>53</v>
      </c>
      <c r="B15" s="7" t="s">
        <v>30</v>
      </c>
      <c r="C15" s="8" t="s">
        <v>37</v>
      </c>
      <c r="D15" s="8"/>
      <c r="E15" s="8" t="s">
        <v>37</v>
      </c>
      <c r="F15" s="8"/>
      <c r="G15" s="8"/>
      <c r="H15" s="8"/>
    </row>
    <row r="16" spans="1:8" x14ac:dyDescent="0.25">
      <c r="A16" s="6" t="s">
        <v>28</v>
      </c>
      <c r="B16" s="7" t="s">
        <v>30</v>
      </c>
      <c r="C16" s="8" t="s">
        <v>20</v>
      </c>
      <c r="D16" s="8"/>
      <c r="E16" s="8" t="s">
        <v>20</v>
      </c>
      <c r="F16" s="8"/>
      <c r="G16" s="8"/>
      <c r="H16" s="8"/>
    </row>
    <row r="17" spans="1:8" x14ac:dyDescent="0.25">
      <c r="A17" s="6" t="s">
        <v>54</v>
      </c>
      <c r="B17" s="7" t="s">
        <v>30</v>
      </c>
      <c r="C17" s="8" t="s">
        <v>20</v>
      </c>
      <c r="D17" s="8"/>
      <c r="E17" s="8" t="s">
        <v>20</v>
      </c>
      <c r="F17" s="8"/>
      <c r="G17" s="8"/>
      <c r="H17" s="8"/>
    </row>
    <row r="18" spans="1:8" x14ac:dyDescent="0.25">
      <c r="A18" s="6" t="s">
        <v>55</v>
      </c>
      <c r="B18" s="7" t="s">
        <v>56</v>
      </c>
      <c r="C18" s="8" t="s">
        <v>20</v>
      </c>
      <c r="D18" s="8"/>
      <c r="E18" s="8" t="s">
        <v>20</v>
      </c>
      <c r="F18" s="8"/>
      <c r="G18" s="8"/>
      <c r="H18" s="8"/>
    </row>
    <row r="19" spans="1:8" x14ac:dyDescent="0.25">
      <c r="A19" s="6" t="s">
        <v>32</v>
      </c>
      <c r="B19" s="8" t="s">
        <v>18</v>
      </c>
      <c r="C19" s="8" t="s">
        <v>19</v>
      </c>
      <c r="D19" s="8"/>
      <c r="E19" s="8" t="s">
        <v>20</v>
      </c>
      <c r="F19" s="8"/>
      <c r="G19" s="8"/>
      <c r="H19" s="8"/>
    </row>
    <row r="20" spans="1:8" x14ac:dyDescent="0.25">
      <c r="A20" s="6" t="s">
        <v>33</v>
      </c>
      <c r="B20" s="8" t="s">
        <v>18</v>
      </c>
      <c r="C20" s="8" t="s">
        <v>19</v>
      </c>
      <c r="D20" s="8"/>
      <c r="E20" s="8" t="s">
        <v>20</v>
      </c>
      <c r="F20" s="8"/>
      <c r="G20" s="8"/>
      <c r="H20" s="8"/>
    </row>
    <row r="21" spans="1:8" x14ac:dyDescent="0.25">
      <c r="A21" s="6" t="s">
        <v>31</v>
      </c>
      <c r="B21" s="8" t="s">
        <v>18</v>
      </c>
      <c r="C21" s="8" t="s">
        <v>19</v>
      </c>
      <c r="D21" s="8"/>
      <c r="E21" s="8" t="s">
        <v>20</v>
      </c>
      <c r="F21" s="8"/>
      <c r="G21" s="8"/>
      <c r="H21" s="8"/>
    </row>
    <row r="22" spans="1:8" x14ac:dyDescent="0.25">
      <c r="A22" s="6" t="s">
        <v>57</v>
      </c>
      <c r="B22" s="8" t="s">
        <v>60</v>
      </c>
      <c r="C22" s="8" t="s">
        <v>60</v>
      </c>
      <c r="D22" s="8"/>
      <c r="E22" s="8" t="s">
        <v>61</v>
      </c>
      <c r="F22" s="8"/>
      <c r="G22" s="8"/>
      <c r="H22" s="8"/>
    </row>
    <row r="23" spans="1:8" x14ac:dyDescent="0.25">
      <c r="A23" s="6" t="s">
        <v>58</v>
      </c>
      <c r="B23" s="8" t="s">
        <v>60</v>
      </c>
      <c r="C23" s="8" t="s">
        <v>60</v>
      </c>
      <c r="D23" s="8"/>
      <c r="E23" s="8" t="s">
        <v>61</v>
      </c>
      <c r="F23" s="8"/>
      <c r="G23" s="8"/>
      <c r="H23" s="8"/>
    </row>
    <row r="24" spans="1:8" x14ac:dyDescent="0.25">
      <c r="A24" s="8" t="s">
        <v>66</v>
      </c>
      <c r="B24" s="8" t="s">
        <v>18</v>
      </c>
      <c r="C24" s="8" t="s">
        <v>19</v>
      </c>
      <c r="D24" s="8"/>
      <c r="E24" s="8" t="s">
        <v>20</v>
      </c>
      <c r="F24" s="8"/>
      <c r="G24" s="8"/>
      <c r="H24" s="8"/>
    </row>
    <row r="25" spans="1:8" x14ac:dyDescent="0.25">
      <c r="G25" s="8" t="s">
        <v>39</v>
      </c>
      <c r="H25" s="8">
        <f>SUM(H8:H24)</f>
        <v>0</v>
      </c>
    </row>
    <row r="26" spans="1:8" x14ac:dyDescent="0.25">
      <c r="G26" s="8" t="s">
        <v>40</v>
      </c>
      <c r="H26" s="8">
        <f>SUM(H25*100/20)</f>
        <v>0</v>
      </c>
    </row>
    <row r="27" spans="1:8" x14ac:dyDescent="0.25">
      <c r="G27" s="8" t="s">
        <v>38</v>
      </c>
    </row>
    <row r="28" spans="1:8" x14ac:dyDescent="0.25">
      <c r="G28" s="8"/>
      <c r="H28" s="11">
        <v>0.3</v>
      </c>
    </row>
    <row r="29" spans="1:8" x14ac:dyDescent="0.25">
      <c r="G29" s="8" t="s">
        <v>42</v>
      </c>
      <c r="H29" s="8">
        <f>SUM(G28*100/30)</f>
        <v>0</v>
      </c>
    </row>
    <row r="30" spans="1:8" x14ac:dyDescent="0.25">
      <c r="A30" t="s">
        <v>62</v>
      </c>
      <c r="G30" s="8"/>
      <c r="H30" s="8"/>
    </row>
    <row r="31" spans="1:8" x14ac:dyDescent="0.25">
      <c r="A31" t="s">
        <v>63</v>
      </c>
    </row>
    <row r="32" spans="1:8" x14ac:dyDescent="0.25">
      <c r="A32" t="s">
        <v>64</v>
      </c>
    </row>
    <row r="33" spans="1:1" x14ac:dyDescent="0.25">
      <c r="A33" t="s">
        <v>65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69</v>
      </c>
    </row>
    <row r="37" spans="1:1" x14ac:dyDescent="0.25">
      <c r="A37" t="s">
        <v>70</v>
      </c>
    </row>
    <row r="38" spans="1:1" x14ac:dyDescent="0.25">
      <c r="A38" t="s">
        <v>71</v>
      </c>
    </row>
  </sheetData>
  <mergeCells count="4">
    <mergeCell ref="A2:H2"/>
    <mergeCell ref="A9:A10"/>
    <mergeCell ref="B9:D9"/>
    <mergeCell ref="E9:F9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32EF-0A31-4141-B55E-674C91CC8309}">
  <dimension ref="A1:H31"/>
  <sheetViews>
    <sheetView workbookViewId="0">
      <selection sqref="A1:H9"/>
    </sheetView>
  </sheetViews>
  <sheetFormatPr defaultRowHeight="15" x14ac:dyDescent="0.25"/>
  <cols>
    <col min="1" max="1" width="19.42578125" customWidth="1"/>
    <col min="3" max="3" width="6.7109375" customWidth="1"/>
    <col min="5" max="5" width="7.7109375" customWidth="1"/>
    <col min="7" max="7" width="16.42578125" customWidth="1"/>
    <col min="8" max="8" width="18.140625" customWidth="1"/>
  </cols>
  <sheetData>
    <row r="1" spans="1:8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3" spans="1:8" x14ac:dyDescent="0.25">
      <c r="A3" s="1" t="s">
        <v>1</v>
      </c>
      <c r="B3" s="1" t="s">
        <v>72</v>
      </c>
      <c r="C3" s="1"/>
      <c r="D3" s="1"/>
      <c r="E3" s="1"/>
      <c r="F3" s="1" t="s">
        <v>75</v>
      </c>
      <c r="G3" s="1"/>
      <c r="H3" s="1"/>
    </row>
    <row r="4" spans="1:8" x14ac:dyDescent="0.25">
      <c r="A4" s="1" t="s">
        <v>2</v>
      </c>
      <c r="B4" s="1" t="s">
        <v>3</v>
      </c>
      <c r="C4" s="1"/>
      <c r="D4" s="1"/>
      <c r="E4" s="1"/>
      <c r="F4" s="1"/>
      <c r="G4" s="1"/>
      <c r="H4" s="1"/>
    </row>
    <row r="5" spans="1:8" x14ac:dyDescent="0.25">
      <c r="A5" s="1" t="s">
        <v>4</v>
      </c>
      <c r="B5" s="1" t="s">
        <v>73</v>
      </c>
      <c r="C5" s="1"/>
      <c r="D5" s="1"/>
      <c r="E5" s="1"/>
      <c r="F5" s="1"/>
      <c r="G5" s="1"/>
      <c r="H5" s="1"/>
    </row>
    <row r="6" spans="1:8" x14ac:dyDescent="0.25">
      <c r="A6" s="1" t="s">
        <v>5</v>
      </c>
      <c r="B6" s="1" t="s">
        <v>74</v>
      </c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ht="30" x14ac:dyDescent="0.25">
      <c r="A8" s="15" t="s">
        <v>6</v>
      </c>
      <c r="B8" s="17" t="s">
        <v>7</v>
      </c>
      <c r="C8" s="18"/>
      <c r="D8" s="19"/>
      <c r="E8" s="17" t="s">
        <v>8</v>
      </c>
      <c r="F8" s="19"/>
      <c r="G8" s="2" t="s">
        <v>9</v>
      </c>
      <c r="H8" s="2" t="s">
        <v>10</v>
      </c>
    </row>
    <row r="9" spans="1:8" ht="30" x14ac:dyDescent="0.25">
      <c r="A9" s="16"/>
      <c r="B9" s="3" t="s">
        <v>11</v>
      </c>
      <c r="C9" s="4" t="s">
        <v>12</v>
      </c>
      <c r="D9" s="4" t="s">
        <v>13</v>
      </c>
      <c r="E9" s="4" t="s">
        <v>12</v>
      </c>
      <c r="F9" s="4" t="s">
        <v>14</v>
      </c>
      <c r="G9" s="5" t="s">
        <v>15</v>
      </c>
      <c r="H9" s="5" t="s">
        <v>16</v>
      </c>
    </row>
    <row r="10" spans="1:8" x14ac:dyDescent="0.25">
      <c r="A10" s="6" t="s">
        <v>81</v>
      </c>
      <c r="B10" s="10">
        <v>1000</v>
      </c>
      <c r="C10" s="10" t="s">
        <v>20</v>
      </c>
      <c r="D10" s="10"/>
      <c r="E10" s="10" t="s">
        <v>20</v>
      </c>
      <c r="F10" s="10">
        <v>100</v>
      </c>
      <c r="G10" s="13">
        <f>SUM(D10/B10)</f>
        <v>0</v>
      </c>
      <c r="H10" s="13">
        <f>SUM(G10*F10)</f>
        <v>0</v>
      </c>
    </row>
    <row r="11" spans="1:8" x14ac:dyDescent="0.25">
      <c r="A11" s="6" t="s">
        <v>82</v>
      </c>
      <c r="B11" s="10">
        <v>1000</v>
      </c>
      <c r="C11" s="10" t="s">
        <v>61</v>
      </c>
      <c r="D11" s="10"/>
      <c r="E11" s="10" t="s">
        <v>61</v>
      </c>
      <c r="F11" s="10">
        <v>1000</v>
      </c>
      <c r="G11" s="13">
        <f t="shared" ref="G11:G17" si="0">SUM(D11/B11)</f>
        <v>0</v>
      </c>
      <c r="H11" s="13">
        <f t="shared" ref="H11:H15" si="1">SUM(G11*F11)</f>
        <v>0</v>
      </c>
    </row>
    <row r="12" spans="1:8" x14ac:dyDescent="0.25">
      <c r="A12" s="6" t="s">
        <v>35</v>
      </c>
      <c r="B12" s="10">
        <v>1000</v>
      </c>
      <c r="C12" s="10" t="s">
        <v>20</v>
      </c>
      <c r="D12" s="10"/>
      <c r="E12" s="10" t="s">
        <v>20</v>
      </c>
      <c r="F12" s="10">
        <v>400</v>
      </c>
      <c r="G12" s="13">
        <f t="shared" si="0"/>
        <v>0</v>
      </c>
      <c r="H12" s="13">
        <f t="shared" si="1"/>
        <v>0</v>
      </c>
    </row>
    <row r="13" spans="1:8" x14ac:dyDescent="0.25">
      <c r="A13" s="6" t="s">
        <v>83</v>
      </c>
      <c r="B13" s="10">
        <v>1000</v>
      </c>
      <c r="C13" s="10" t="s">
        <v>20</v>
      </c>
      <c r="D13" s="10"/>
      <c r="E13" s="10" t="s">
        <v>20</v>
      </c>
      <c r="F13" s="10">
        <v>100</v>
      </c>
      <c r="G13" s="13">
        <f t="shared" si="0"/>
        <v>0</v>
      </c>
      <c r="H13" s="13">
        <f t="shared" si="1"/>
        <v>0</v>
      </c>
    </row>
    <row r="14" spans="1:8" x14ac:dyDescent="0.25">
      <c r="A14" s="6" t="s">
        <v>84</v>
      </c>
      <c r="B14" s="10">
        <v>1000</v>
      </c>
      <c r="C14" s="10" t="s">
        <v>20</v>
      </c>
      <c r="D14" s="10"/>
      <c r="E14" s="10" t="s">
        <v>20</v>
      </c>
      <c r="F14" s="10">
        <v>300</v>
      </c>
      <c r="G14" s="13">
        <f t="shared" si="0"/>
        <v>0</v>
      </c>
      <c r="H14" s="13">
        <f t="shared" si="1"/>
        <v>0</v>
      </c>
    </row>
    <row r="15" spans="1:8" x14ac:dyDescent="0.25">
      <c r="A15" s="6" t="s">
        <v>85</v>
      </c>
      <c r="B15" s="10">
        <v>5</v>
      </c>
      <c r="C15" s="10" t="s">
        <v>20</v>
      </c>
      <c r="D15" s="10"/>
      <c r="E15" s="10" t="s">
        <v>20</v>
      </c>
      <c r="F15" s="10">
        <v>15</v>
      </c>
      <c r="G15" s="13">
        <f t="shared" si="0"/>
        <v>0</v>
      </c>
      <c r="H15" s="13">
        <f t="shared" si="1"/>
        <v>0</v>
      </c>
    </row>
    <row r="16" spans="1:8" x14ac:dyDescent="0.25">
      <c r="A16" s="6" t="s">
        <v>57</v>
      </c>
      <c r="B16" s="10">
        <v>1000</v>
      </c>
      <c r="C16" s="10" t="s">
        <v>61</v>
      </c>
      <c r="D16" s="10"/>
      <c r="E16" s="10" t="s">
        <v>61</v>
      </c>
      <c r="F16" s="10">
        <v>4000</v>
      </c>
      <c r="G16" s="13">
        <f t="shared" si="0"/>
        <v>0</v>
      </c>
      <c r="H16" s="13">
        <f>SUM(G16*F16)</f>
        <v>0</v>
      </c>
    </row>
    <row r="17" spans="1:8" x14ac:dyDescent="0.25">
      <c r="A17" s="8"/>
      <c r="B17" s="8"/>
      <c r="C17" s="8"/>
      <c r="D17" s="8"/>
      <c r="E17" s="8"/>
      <c r="F17" s="8"/>
      <c r="G17" s="13"/>
      <c r="H17" s="8"/>
    </row>
    <row r="18" spans="1:8" x14ac:dyDescent="0.25">
      <c r="A18" s="8"/>
      <c r="B18" s="8"/>
      <c r="C18" s="8"/>
      <c r="D18" s="8"/>
      <c r="E18" s="8"/>
      <c r="F18" s="8"/>
      <c r="G18" s="8"/>
      <c r="H18" s="8"/>
    </row>
    <row r="19" spans="1:8" x14ac:dyDescent="0.25">
      <c r="G19" s="8" t="s">
        <v>86</v>
      </c>
      <c r="H19" s="13">
        <f>SUM(H10:H18)</f>
        <v>0</v>
      </c>
    </row>
    <row r="20" spans="1:8" x14ac:dyDescent="0.25">
      <c r="G20" s="8" t="s">
        <v>87</v>
      </c>
      <c r="H20" s="13">
        <f>SUM(H19*20/100)</f>
        <v>0</v>
      </c>
    </row>
    <row r="21" spans="1:8" x14ac:dyDescent="0.25">
      <c r="G21" s="8" t="s">
        <v>38</v>
      </c>
      <c r="H21" s="13">
        <f>SUM(H19:H20)</f>
        <v>0</v>
      </c>
    </row>
    <row r="22" spans="1:8" x14ac:dyDescent="0.25">
      <c r="G22" s="8" t="s">
        <v>88</v>
      </c>
      <c r="H22" s="8"/>
    </row>
    <row r="23" spans="1:8" x14ac:dyDescent="0.25">
      <c r="G23" s="8" t="s">
        <v>89</v>
      </c>
      <c r="H23" s="13">
        <f>SUM((H21*100/38))</f>
        <v>0</v>
      </c>
    </row>
    <row r="25" spans="1:8" x14ac:dyDescent="0.25">
      <c r="A25" t="s">
        <v>90</v>
      </c>
    </row>
    <row r="26" spans="1:8" x14ac:dyDescent="0.25">
      <c r="A26" t="s">
        <v>91</v>
      </c>
    </row>
    <row r="27" spans="1:8" x14ac:dyDescent="0.25">
      <c r="A27" t="s">
        <v>92</v>
      </c>
    </row>
    <row r="28" spans="1:8" x14ac:dyDescent="0.25">
      <c r="A28" t="s">
        <v>93</v>
      </c>
    </row>
    <row r="29" spans="1:8" x14ac:dyDescent="0.25">
      <c r="A29" t="s">
        <v>94</v>
      </c>
    </row>
    <row r="30" spans="1:8" x14ac:dyDescent="0.25">
      <c r="A30" t="s">
        <v>95</v>
      </c>
    </row>
    <row r="31" spans="1:8" x14ac:dyDescent="0.25">
      <c r="A31" t="s">
        <v>96</v>
      </c>
    </row>
  </sheetData>
  <mergeCells count="4">
    <mergeCell ref="A1:H1"/>
    <mergeCell ref="A8:A9"/>
    <mergeCell ref="B8:D8"/>
    <mergeCell ref="E8:F8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6CDC-7DF2-408C-972A-BCEFABAACB07}">
  <dimension ref="A1:H13"/>
  <sheetViews>
    <sheetView tabSelected="1" workbookViewId="0">
      <selection activeCell="A14" sqref="A14"/>
    </sheetView>
  </sheetViews>
  <sheetFormatPr defaultRowHeight="15" x14ac:dyDescent="0.25"/>
  <cols>
    <col min="1" max="1" width="19.140625" customWidth="1"/>
    <col min="3" max="3" width="7.5703125" customWidth="1"/>
    <col min="5" max="5" width="7" customWidth="1"/>
    <col min="7" max="8" width="16.85546875" customWidth="1"/>
  </cols>
  <sheetData>
    <row r="1" spans="1:8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3" spans="1:8" x14ac:dyDescent="0.25">
      <c r="A3" s="1" t="s">
        <v>1</v>
      </c>
      <c r="B3" s="1" t="s">
        <v>97</v>
      </c>
      <c r="C3" s="1"/>
      <c r="D3" s="1"/>
      <c r="E3" s="1"/>
      <c r="F3" s="1" t="s">
        <v>98</v>
      </c>
      <c r="G3" s="1"/>
      <c r="H3" s="1"/>
    </row>
    <row r="4" spans="1:8" x14ac:dyDescent="0.25">
      <c r="A4" s="1" t="s">
        <v>2</v>
      </c>
      <c r="B4" s="1" t="s">
        <v>3</v>
      </c>
      <c r="C4" s="1"/>
      <c r="D4" s="1"/>
      <c r="E4" s="1"/>
      <c r="F4" s="1"/>
      <c r="G4" s="1"/>
      <c r="H4" s="1"/>
    </row>
    <row r="5" spans="1:8" x14ac:dyDescent="0.25">
      <c r="A5" s="1" t="s">
        <v>4</v>
      </c>
      <c r="B5" s="1" t="s">
        <v>73</v>
      </c>
      <c r="C5" s="1"/>
      <c r="D5" s="1"/>
      <c r="E5" s="1"/>
      <c r="F5" s="1"/>
      <c r="G5" s="1"/>
      <c r="H5" s="1"/>
    </row>
    <row r="6" spans="1:8" x14ac:dyDescent="0.25">
      <c r="A6" s="1" t="s">
        <v>5</v>
      </c>
      <c r="B6" s="1" t="s">
        <v>74</v>
      </c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ht="30" x14ac:dyDescent="0.25">
      <c r="A8" s="15" t="s">
        <v>6</v>
      </c>
      <c r="B8" s="17" t="s">
        <v>7</v>
      </c>
      <c r="C8" s="18"/>
      <c r="D8" s="19"/>
      <c r="E8" s="17" t="s">
        <v>8</v>
      </c>
      <c r="F8" s="19"/>
      <c r="G8" s="2" t="s">
        <v>9</v>
      </c>
      <c r="H8" s="2" t="s">
        <v>10</v>
      </c>
    </row>
    <row r="9" spans="1:8" ht="30" x14ac:dyDescent="0.25">
      <c r="A9" s="16"/>
      <c r="B9" s="3" t="s">
        <v>11</v>
      </c>
      <c r="C9" s="4" t="s">
        <v>12</v>
      </c>
      <c r="D9" s="4" t="s">
        <v>13</v>
      </c>
      <c r="E9" s="4" t="s">
        <v>12</v>
      </c>
      <c r="F9" s="4" t="s">
        <v>14</v>
      </c>
      <c r="G9" s="5" t="s">
        <v>15</v>
      </c>
      <c r="H9" s="5" t="s">
        <v>16</v>
      </c>
    </row>
    <row r="10" spans="1:8" x14ac:dyDescent="0.25">
      <c r="A10" s="1" t="s">
        <v>99</v>
      </c>
      <c r="B10" s="20">
        <v>1000</v>
      </c>
      <c r="C10" t="s">
        <v>20</v>
      </c>
      <c r="E10" t="s">
        <v>20</v>
      </c>
      <c r="F10">
        <v>500</v>
      </c>
    </row>
    <row r="11" spans="1:8" x14ac:dyDescent="0.25">
      <c r="A11" s="1" t="s">
        <v>100</v>
      </c>
      <c r="B11">
        <v>1000</v>
      </c>
      <c r="C11" t="s">
        <v>20</v>
      </c>
      <c r="E11" t="s">
        <v>20</v>
      </c>
      <c r="F11">
        <v>80</v>
      </c>
    </row>
    <row r="12" spans="1:8" x14ac:dyDescent="0.25">
      <c r="A12" s="1" t="s">
        <v>101</v>
      </c>
      <c r="B12">
        <v>1000</v>
      </c>
      <c r="C12" t="s">
        <v>20</v>
      </c>
      <c r="E12" t="s">
        <v>20</v>
      </c>
      <c r="F12">
        <v>80</v>
      </c>
    </row>
    <row r="13" spans="1:8" x14ac:dyDescent="0.25">
      <c r="A13" s="1" t="s">
        <v>102</v>
      </c>
      <c r="B13">
        <v>1000</v>
      </c>
      <c r="C13" t="s">
        <v>61</v>
      </c>
      <c r="E13" t="s">
        <v>61</v>
      </c>
      <c r="F13">
        <v>50</v>
      </c>
    </row>
  </sheetData>
  <mergeCells count="4">
    <mergeCell ref="A1:H1"/>
    <mergeCell ref="A8:A9"/>
    <mergeCell ref="B8:D8"/>
    <mergeCell ref="E8:F8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sausbolognaise</vt:lpstr>
      <vt:lpstr>sausconccase</vt:lpstr>
      <vt:lpstr>sauscarbonara</vt:lpstr>
      <vt:lpstr>sausmariara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2025-01-16T03:52:02Z</cp:lastPrinted>
  <dcterms:created xsi:type="dcterms:W3CDTF">2024-08-31T10:04:23Z</dcterms:created>
  <dcterms:modified xsi:type="dcterms:W3CDTF">2025-01-16T04:10:59Z</dcterms:modified>
</cp:coreProperties>
</file>