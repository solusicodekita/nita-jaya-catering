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ILE KERJA NITA JAYA\FILE RESEP INDUK NITA JAYA CATERING SERVICE\RESEP INDUK\"/>
    </mc:Choice>
  </mc:AlternateContent>
  <xr:revisionPtr revIDLastSave="0" documentId="13_ncr:1_{8E81CAAA-A148-4776-BB3E-01FB2EC57BC5}" xr6:coauthVersionLast="47" xr6:coauthVersionMax="47" xr10:uidLastSave="{00000000-0000-0000-0000-000000000000}"/>
  <bookViews>
    <workbookView xWindow="-120" yWindow="-120" windowWidth="20730" windowHeight="11160" activeTab="4" xr2:uid="{F343175E-5CD8-4F0C-BAF3-BD770035A185}"/>
  </bookViews>
  <sheets>
    <sheet name="nasiputih" sheetId="1" r:id="rId1"/>
    <sheet name="nasigorengsosis" sheetId="2" r:id="rId2"/>
    <sheet name="nasigorengmerah" sheetId="3" r:id="rId3"/>
    <sheet name="nasigorengseafood" sheetId="4" r:id="rId4"/>
    <sheet name="nasi goreng XO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57" i="5" l="1"/>
  <c r="H58" i="5"/>
  <c r="H59" i="5"/>
  <c r="H60" i="5"/>
  <c r="H61" i="5"/>
  <c r="H62" i="5"/>
  <c r="H63" i="5"/>
  <c r="H64" i="5"/>
  <c r="H65" i="5"/>
  <c r="G57" i="5"/>
  <c r="G58" i="5"/>
  <c r="G59" i="5"/>
  <c r="G60" i="5"/>
  <c r="G61" i="5"/>
  <c r="G62" i="5"/>
  <c r="G63" i="5"/>
  <c r="G64" i="5"/>
  <c r="G65" i="5"/>
  <c r="G56" i="5"/>
  <c r="H56" i="5" s="1"/>
  <c r="H27" i="5"/>
  <c r="H25" i="5"/>
  <c r="H24" i="5"/>
  <c r="H23" i="5"/>
  <c r="H12" i="5"/>
  <c r="H13" i="5"/>
  <c r="H14" i="5"/>
  <c r="H16" i="5"/>
  <c r="H17" i="5"/>
  <c r="H18" i="5"/>
  <c r="H19" i="5"/>
  <c r="H20" i="5"/>
  <c r="G12" i="5"/>
  <c r="G13" i="5"/>
  <c r="G14" i="5"/>
  <c r="G16" i="5"/>
  <c r="G17" i="5"/>
  <c r="G18" i="5"/>
  <c r="G19" i="5"/>
  <c r="G20" i="5"/>
  <c r="H11" i="5"/>
  <c r="G11" i="5"/>
  <c r="G20" i="4"/>
  <c r="G19" i="4"/>
  <c r="G18" i="4"/>
  <c r="G17" i="4"/>
  <c r="G16" i="4"/>
  <c r="G15" i="4"/>
  <c r="G13" i="4"/>
  <c r="G12" i="4"/>
  <c r="G11" i="4"/>
  <c r="G10" i="4"/>
  <c r="H10" i="4" s="1"/>
  <c r="H24" i="4" s="1"/>
  <c r="H28" i="3"/>
  <c r="H26" i="3"/>
  <c r="H25" i="3"/>
  <c r="H24" i="3"/>
  <c r="G11" i="3"/>
  <c r="G12" i="3"/>
  <c r="G13" i="3"/>
  <c r="G15" i="3"/>
  <c r="G16" i="3"/>
  <c r="G17" i="3"/>
  <c r="G18" i="3"/>
  <c r="G19" i="3"/>
  <c r="G20" i="3"/>
  <c r="H10" i="3"/>
  <c r="G10" i="3"/>
  <c r="H27" i="2"/>
  <c r="H25" i="2"/>
  <c r="H24" i="2"/>
  <c r="H23" i="2"/>
  <c r="G11" i="2"/>
  <c r="H11" i="2" s="1"/>
  <c r="G12" i="2"/>
  <c r="H12" i="2" s="1"/>
  <c r="G13" i="2"/>
  <c r="H13" i="2" s="1"/>
  <c r="G14" i="2"/>
  <c r="H14" i="2" s="1"/>
  <c r="G15" i="2"/>
  <c r="H15" i="2" s="1"/>
  <c r="G16" i="2"/>
  <c r="H16" i="2" s="1"/>
  <c r="G17" i="2"/>
  <c r="H17" i="2" s="1"/>
  <c r="G18" i="2"/>
  <c r="H18" i="2" s="1"/>
  <c r="G19" i="2"/>
  <c r="H19" i="2" s="1"/>
  <c r="G20" i="2"/>
  <c r="H20" i="2" s="1"/>
  <c r="H10" i="2"/>
  <c r="G10" i="2"/>
  <c r="H17" i="1"/>
  <c r="H15" i="1"/>
  <c r="H14" i="1"/>
  <c r="H13" i="1"/>
  <c r="H10" i="1"/>
  <c r="G10" i="1"/>
  <c r="H25" i="4" l="1"/>
  <c r="H26" i="4" s="1"/>
  <c r="H28" i="4" s="1"/>
</calcChain>
</file>

<file path=xl/sharedStrings.xml><?xml version="1.0" encoding="utf-8"?>
<sst xmlns="http://schemas.openxmlformats.org/spreadsheetml/2006/main" count="345" uniqueCount="97">
  <si>
    <t>NITA JAYA CATERING SERVICE</t>
  </si>
  <si>
    <t>Recipe number          :</t>
  </si>
  <si>
    <t>001/olsoup/NT/2024</t>
  </si>
  <si>
    <t>Property                       :</t>
  </si>
  <si>
    <t>Nita Jaya Catering Service</t>
  </si>
  <si>
    <t>Category                       :</t>
  </si>
  <si>
    <t>Soup</t>
  </si>
  <si>
    <t>Yield                               :</t>
  </si>
  <si>
    <t>10 portion</t>
  </si>
  <si>
    <t>Ingredients</t>
  </si>
  <si>
    <t>Convertion</t>
  </si>
  <si>
    <t>Used</t>
  </si>
  <si>
    <t>Price Unit</t>
  </si>
  <si>
    <t xml:space="preserve">Total </t>
  </si>
  <si>
    <t>Pack Store</t>
  </si>
  <si>
    <t>Unit</t>
  </si>
  <si>
    <t>Price</t>
  </si>
  <si>
    <t>Qty</t>
  </si>
  <si>
    <t>used in gr</t>
  </si>
  <si>
    <t>Cost</t>
  </si>
  <si>
    <t>001/olnasi/NT/2025</t>
  </si>
  <si>
    <t>carbo/nasi</t>
  </si>
  <si>
    <t>Nama  : nasi putih</t>
  </si>
  <si>
    <t xml:space="preserve">beras opung </t>
  </si>
  <si>
    <t>gr</t>
  </si>
  <si>
    <t>total cost 1</t>
  </si>
  <si>
    <t>cost vactor 20%</t>
  </si>
  <si>
    <t>tottal cost 2</t>
  </si>
  <si>
    <t>cost selling 30 %</t>
  </si>
  <si>
    <t>price selling</t>
  </si>
  <si>
    <t>Nama  : nasi goreng sosis</t>
  </si>
  <si>
    <t>sosis</t>
  </si>
  <si>
    <t>nasi putih</t>
  </si>
  <si>
    <t>bawang putih</t>
  </si>
  <si>
    <t>telur</t>
  </si>
  <si>
    <t>pc</t>
  </si>
  <si>
    <t>pcs</t>
  </si>
  <si>
    <t>saus tomat sam hap</t>
  </si>
  <si>
    <t>ml</t>
  </si>
  <si>
    <t>masako powder</t>
  </si>
  <si>
    <t>lada putih bubuk</t>
  </si>
  <si>
    <t>garam</t>
  </si>
  <si>
    <t>ajinomoto</t>
  </si>
  <si>
    <t>minyak goreng</t>
  </si>
  <si>
    <t>daun bawang</t>
  </si>
  <si>
    <t>cost vactor 20 %</t>
  </si>
  <si>
    <t>total cost 2</t>
  </si>
  <si>
    <t>cost selling 30%</t>
  </si>
  <si>
    <t>002/olnasi/NT/2024</t>
  </si>
  <si>
    <t>Nama  :  Nasi Goreng Merah</t>
  </si>
  <si>
    <t>ayam dada ( dadu)</t>
  </si>
  <si>
    <t>bakso sapi</t>
  </si>
  <si>
    <t>bakso ayam</t>
  </si>
  <si>
    <t>bumbu merah</t>
  </si>
  <si>
    <t xml:space="preserve">minyak goreng                                                                 </t>
  </si>
  <si>
    <t>method:</t>
  </si>
  <si>
    <t xml:space="preserve">1 siapkan semua bahan masakan termasuk alat yg akan di gunakan : wok atau wajan serta sotil dan tempat </t>
  </si>
  <si>
    <t xml:space="preserve">    untuk setelah nasi goreng matang.</t>
  </si>
  <si>
    <t xml:space="preserve">2 panaskan wok sampai panas betul lalu kecilka api , masukan minyak , api agak di besarkan dn setelah minyak </t>
  </si>
  <si>
    <t xml:space="preserve">    terlihat panas masukan bawang putih ,tumis sampai arna agak coklat lalu tuang telur yg sudah di kocok , aduk</t>
  </si>
  <si>
    <t xml:space="preserve">    sampai telur mateng ratamasukan daging dan bakso , aduk sampai ayam matang lalu masukan nasi dan api kecil</t>
  </si>
  <si>
    <t xml:space="preserve">    kan.</t>
  </si>
  <si>
    <t>3 masukan saus tomat sam hap dan bumbu merah serta bahan atau bumbu lainya. Aduk aduk sampai warna nasi</t>
  </si>
  <si>
    <t xml:space="preserve">    merata dengan saus .</t>
  </si>
  <si>
    <t>4 besarkan api dan aduk nasi dengan gerakan cepat agar nasi tidak gosong tapi medapat efek smoky lalu kecilkan.</t>
  </si>
  <si>
    <t>5 check rasanya, setelah di rasa pas soal rasa dan suhu nasi goreng maka nasi goreng siap di hidangkan.</t>
  </si>
  <si>
    <t>method</t>
  </si>
  <si>
    <t>1 cuci beras sampai bersih, sebelumnya sudah menyiapkan dandang  dan air yg standby panas.</t>
  </si>
  <si>
    <t>2 masukan beras kendandng bilamana air di dandang sudah panas lalu biarkan sampai beberapa menit</t>
  </si>
  <si>
    <t xml:space="preserve">   sekitar 10 sampai 15 menit lalu siram beras dengan air panas yang sudh standby , banyak air yang di siramkan</t>
  </si>
  <si>
    <t>sesuai jumlah beras yang akan di masak, berbanding sama kira kiranya.</t>
  </si>
  <si>
    <t xml:space="preserve">3 tutup dandang sampai sekitar 25 menit lalu aduk beras yg sudah mulai menjadi nasi , agar mateng nya bisa </t>
  </si>
  <si>
    <t xml:space="preserve">    rata.</t>
  </si>
  <si>
    <t>4  tutup rapat dandang , nasi mateng setealh sekitar 50 menit sampai 1 jam di masak atau bisa di check langsung</t>
  </si>
  <si>
    <t>method :</t>
  </si>
  <si>
    <t>Nama  : nasi goreng seafood</t>
  </si>
  <si>
    <t>004/olnasi/NT/2024</t>
  </si>
  <si>
    <t>udang sedang</t>
  </si>
  <si>
    <t>bakso  ikan</t>
  </si>
  <si>
    <t>chikua</t>
  </si>
  <si>
    <t>bumbu XO :</t>
  </si>
  <si>
    <t>ikan kering ,jambal</t>
  </si>
  <si>
    <t>isi kerang simping</t>
  </si>
  <si>
    <t>udang kering</t>
  </si>
  <si>
    <t>smoked beef ganti</t>
  </si>
  <si>
    <t>nya ham</t>
  </si>
  <si>
    <t>jahe</t>
  </si>
  <si>
    <t>bawang bombay</t>
  </si>
  <si>
    <t>cabe kering</t>
  </si>
  <si>
    <t>Nama  : bumbuXO</t>
  </si>
  <si>
    <t>bumbu</t>
  </si>
  <si>
    <t>total cost</t>
  </si>
  <si>
    <t>cost vactor</t>
  </si>
  <si>
    <t>005/olnasi/NT/2024</t>
  </si>
  <si>
    <t>Nama  : Nasi goreng xo</t>
  </si>
  <si>
    <t>bumbu XO</t>
  </si>
  <si>
    <t xml:space="preserve">baso ikan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</si>
</sst>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Rp&quot;* #,##0_-;\-&quot;Rp&quot;* #,##0_-;_-&quot;Rp&quot;* &quot;-&quot;_-;_-@_-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/>
    <xf numFmtId="0" fontId="0" fillId="0" borderId="6" xfId="0" applyBorder="1"/>
    <xf numFmtId="42" fontId="0" fillId="0" borderId="6" xfId="0" applyNumberFormat="1" applyBorder="1"/>
    <xf numFmtId="0" fontId="0" fillId="0" borderId="6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C82576-F17A-4EB2-A930-684DA23B1E56}">
  <dimension ref="A1:H26"/>
  <sheetViews>
    <sheetView topLeftCell="A8" workbookViewId="0">
      <selection activeCell="A26" sqref="A26"/>
    </sheetView>
  </sheetViews>
  <sheetFormatPr defaultRowHeight="15" x14ac:dyDescent="0.25"/>
  <cols>
    <col min="1" max="1" width="21.42578125" customWidth="1"/>
    <col min="3" max="3" width="6.5703125" customWidth="1"/>
    <col min="4" max="4" width="14" customWidth="1"/>
    <col min="5" max="5" width="6.7109375" customWidth="1"/>
    <col min="7" max="7" width="14.42578125" customWidth="1"/>
    <col min="8" max="8" width="16.85546875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3" spans="1:8" x14ac:dyDescent="0.25">
      <c r="A3" s="2" t="s">
        <v>1</v>
      </c>
      <c r="B3" s="2" t="s">
        <v>20</v>
      </c>
      <c r="C3" s="2"/>
      <c r="D3" s="2"/>
      <c r="E3" s="2"/>
      <c r="F3" s="2" t="s">
        <v>22</v>
      </c>
      <c r="G3" s="2"/>
      <c r="H3" s="2"/>
    </row>
    <row r="4" spans="1:8" x14ac:dyDescent="0.25">
      <c r="A4" s="2" t="s">
        <v>3</v>
      </c>
      <c r="B4" s="2" t="s">
        <v>4</v>
      </c>
      <c r="C4" s="2"/>
      <c r="D4" s="2"/>
      <c r="E4" s="2"/>
      <c r="F4" s="2"/>
      <c r="G4" s="2"/>
      <c r="H4" s="2"/>
    </row>
    <row r="5" spans="1:8" x14ac:dyDescent="0.25">
      <c r="A5" s="2" t="s">
        <v>5</v>
      </c>
      <c r="B5" s="2" t="s">
        <v>21</v>
      </c>
      <c r="C5" s="2"/>
      <c r="D5" s="2"/>
      <c r="E5" s="2"/>
      <c r="F5" s="2"/>
      <c r="G5" s="2"/>
      <c r="H5" s="2"/>
    </row>
    <row r="6" spans="1:8" x14ac:dyDescent="0.25">
      <c r="A6" s="2" t="s">
        <v>7</v>
      </c>
      <c r="B6" s="2" t="s">
        <v>8</v>
      </c>
      <c r="C6" s="2"/>
      <c r="D6" s="2"/>
      <c r="E6" s="2"/>
      <c r="F6" s="2"/>
      <c r="G6" s="2"/>
      <c r="H6" s="2"/>
    </row>
    <row r="7" spans="1:8" x14ac:dyDescent="0.25">
      <c r="A7" s="2"/>
      <c r="B7" s="2"/>
      <c r="C7" s="2"/>
      <c r="D7" s="2"/>
      <c r="E7" s="2"/>
      <c r="F7" s="2"/>
      <c r="G7" s="2"/>
      <c r="H7" s="2"/>
    </row>
    <row r="8" spans="1:8" ht="30" x14ac:dyDescent="0.25">
      <c r="A8" s="3" t="s">
        <v>9</v>
      </c>
      <c r="B8" s="4" t="s">
        <v>10</v>
      </c>
      <c r="C8" s="5"/>
      <c r="D8" s="6"/>
      <c r="E8" s="4" t="s">
        <v>11</v>
      </c>
      <c r="F8" s="6"/>
      <c r="G8" s="7" t="s">
        <v>12</v>
      </c>
      <c r="H8" s="8" t="s">
        <v>13</v>
      </c>
    </row>
    <row r="9" spans="1:8" ht="30" x14ac:dyDescent="0.25">
      <c r="A9" s="9"/>
      <c r="B9" s="10" t="s">
        <v>14</v>
      </c>
      <c r="C9" s="11" t="s">
        <v>15</v>
      </c>
      <c r="D9" s="11" t="s">
        <v>16</v>
      </c>
      <c r="E9" s="11" t="s">
        <v>15</v>
      </c>
      <c r="F9" s="11" t="s">
        <v>17</v>
      </c>
      <c r="G9" s="12" t="s">
        <v>18</v>
      </c>
      <c r="H9" s="13" t="s">
        <v>19</v>
      </c>
    </row>
    <row r="10" spans="1:8" x14ac:dyDescent="0.25">
      <c r="A10" s="14" t="s">
        <v>23</v>
      </c>
      <c r="B10" s="15">
        <v>1000</v>
      </c>
      <c r="C10" s="15" t="s">
        <v>24</v>
      </c>
      <c r="D10" s="15"/>
      <c r="E10" s="15" t="s">
        <v>24</v>
      </c>
      <c r="F10" s="15">
        <v>1000</v>
      </c>
      <c r="G10" s="16">
        <f>SUM(D10/B10)</f>
        <v>0</v>
      </c>
      <c r="H10" s="16">
        <f>SUM(G10*F10)</f>
        <v>0</v>
      </c>
    </row>
    <row r="11" spans="1:8" x14ac:dyDescent="0.25">
      <c r="A11" s="15"/>
      <c r="B11" s="15"/>
      <c r="C11" s="15"/>
      <c r="D11" s="15"/>
      <c r="E11" s="15"/>
      <c r="F11" s="15"/>
      <c r="G11" s="15"/>
      <c r="H11" s="15"/>
    </row>
    <row r="12" spans="1:8" x14ac:dyDescent="0.25">
      <c r="A12" s="15"/>
      <c r="B12" s="15"/>
      <c r="C12" s="15"/>
      <c r="D12" s="15"/>
      <c r="E12" s="15"/>
      <c r="F12" s="15"/>
      <c r="G12" s="15"/>
      <c r="H12" s="15"/>
    </row>
    <row r="13" spans="1:8" x14ac:dyDescent="0.25">
      <c r="G13" s="15" t="s">
        <v>25</v>
      </c>
      <c r="H13" s="16">
        <f>SUM(H10)</f>
        <v>0</v>
      </c>
    </row>
    <row r="14" spans="1:8" x14ac:dyDescent="0.25">
      <c r="G14" s="15" t="s">
        <v>26</v>
      </c>
      <c r="H14" s="16">
        <f>SUM(H13*20/100)</f>
        <v>0</v>
      </c>
    </row>
    <row r="15" spans="1:8" x14ac:dyDescent="0.25">
      <c r="G15" s="15" t="s">
        <v>27</v>
      </c>
      <c r="H15" s="16">
        <f>SUM(H13:H14)</f>
        <v>0</v>
      </c>
    </row>
    <row r="16" spans="1:8" x14ac:dyDescent="0.25">
      <c r="G16" s="15" t="s">
        <v>28</v>
      </c>
      <c r="H16" s="15"/>
    </row>
    <row r="17" spans="1:8" x14ac:dyDescent="0.25">
      <c r="G17" s="15" t="s">
        <v>29</v>
      </c>
      <c r="H17" s="16">
        <f>SUM(H15*100/30)</f>
        <v>0</v>
      </c>
    </row>
    <row r="18" spans="1:8" x14ac:dyDescent="0.25">
      <c r="G18" s="15"/>
      <c r="H18" s="15"/>
    </row>
    <row r="19" spans="1:8" x14ac:dyDescent="0.25">
      <c r="A19" t="s">
        <v>66</v>
      </c>
    </row>
    <row r="20" spans="1:8" x14ac:dyDescent="0.25">
      <c r="A20" t="s">
        <v>67</v>
      </c>
    </row>
    <row r="21" spans="1:8" x14ac:dyDescent="0.25">
      <c r="A21" t="s">
        <v>68</v>
      </c>
    </row>
    <row r="22" spans="1:8" x14ac:dyDescent="0.25">
      <c r="A22" t="s">
        <v>69</v>
      </c>
    </row>
    <row r="23" spans="1:8" x14ac:dyDescent="0.25">
      <c r="A23" t="s">
        <v>70</v>
      </c>
    </row>
    <row r="24" spans="1:8" x14ac:dyDescent="0.25">
      <c r="A24" t="s">
        <v>71</v>
      </c>
    </row>
    <row r="25" spans="1:8" x14ac:dyDescent="0.25">
      <c r="A25" t="s">
        <v>72</v>
      </c>
    </row>
    <row r="26" spans="1:8" x14ac:dyDescent="0.25">
      <c r="A26" t="s">
        <v>73</v>
      </c>
    </row>
  </sheetData>
  <mergeCells count="4">
    <mergeCell ref="A1:H1"/>
    <mergeCell ref="A8:A9"/>
    <mergeCell ref="B8:D8"/>
    <mergeCell ref="E8:F8"/>
  </mergeCells>
  <pageMargins left="0.25" right="0.25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1A916A-54C4-4C95-88FE-D2C0543AB3DE}">
  <dimension ref="A1:H30"/>
  <sheetViews>
    <sheetView topLeftCell="A7" workbookViewId="0">
      <selection activeCell="A8" sqref="A8:A9"/>
    </sheetView>
  </sheetViews>
  <sheetFormatPr defaultRowHeight="15" x14ac:dyDescent="0.25"/>
  <cols>
    <col min="1" max="1" width="21.28515625" customWidth="1"/>
    <col min="3" max="3" width="6.140625" customWidth="1"/>
    <col min="4" max="4" width="15" customWidth="1"/>
    <col min="5" max="5" width="7" customWidth="1"/>
    <col min="6" max="6" width="7.5703125" customWidth="1"/>
    <col min="7" max="7" width="18.85546875" customWidth="1"/>
    <col min="8" max="8" width="14.5703125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3" spans="1:8" x14ac:dyDescent="0.25">
      <c r="A3" s="2" t="s">
        <v>1</v>
      </c>
      <c r="B3" s="2" t="s">
        <v>48</v>
      </c>
      <c r="C3" s="2"/>
      <c r="D3" s="2"/>
      <c r="E3" s="2"/>
      <c r="F3" s="2" t="s">
        <v>30</v>
      </c>
      <c r="G3" s="2"/>
      <c r="H3" s="2"/>
    </row>
    <row r="4" spans="1:8" x14ac:dyDescent="0.25">
      <c r="A4" s="2" t="s">
        <v>3</v>
      </c>
      <c r="B4" s="2" t="s">
        <v>4</v>
      </c>
      <c r="C4" s="2"/>
      <c r="D4" s="2"/>
      <c r="E4" s="2"/>
      <c r="F4" s="2"/>
      <c r="G4" s="2"/>
      <c r="H4" s="2"/>
    </row>
    <row r="5" spans="1:8" x14ac:dyDescent="0.25">
      <c r="A5" s="2" t="s">
        <v>5</v>
      </c>
      <c r="B5" s="2" t="s">
        <v>21</v>
      </c>
      <c r="C5" s="2"/>
      <c r="D5" s="2"/>
      <c r="E5" s="2"/>
      <c r="F5" s="2"/>
      <c r="G5" s="2"/>
      <c r="H5" s="2"/>
    </row>
    <row r="6" spans="1:8" x14ac:dyDescent="0.25">
      <c r="A6" s="2" t="s">
        <v>7</v>
      </c>
      <c r="B6" s="2" t="s">
        <v>8</v>
      </c>
      <c r="C6" s="2"/>
      <c r="D6" s="2"/>
      <c r="E6" s="2"/>
      <c r="F6" s="2"/>
      <c r="G6" s="2"/>
      <c r="H6" s="2"/>
    </row>
    <row r="7" spans="1:8" x14ac:dyDescent="0.25">
      <c r="A7" s="2"/>
      <c r="B7" s="2"/>
      <c r="C7" s="2"/>
      <c r="D7" s="2"/>
      <c r="E7" s="2"/>
      <c r="F7" s="2"/>
      <c r="G7" s="2"/>
      <c r="H7" s="2"/>
    </row>
    <row r="8" spans="1:8" ht="30" x14ac:dyDescent="0.25">
      <c r="A8" s="3" t="s">
        <v>9</v>
      </c>
      <c r="B8" s="4" t="s">
        <v>10</v>
      </c>
      <c r="C8" s="5"/>
      <c r="D8" s="6"/>
      <c r="E8" s="4" t="s">
        <v>11</v>
      </c>
      <c r="F8" s="6"/>
      <c r="G8" s="7" t="s">
        <v>12</v>
      </c>
      <c r="H8" s="8" t="s">
        <v>13</v>
      </c>
    </row>
    <row r="9" spans="1:8" ht="30" x14ac:dyDescent="0.25">
      <c r="A9" s="9"/>
      <c r="B9" s="10" t="s">
        <v>14</v>
      </c>
      <c r="C9" s="11" t="s">
        <v>15</v>
      </c>
      <c r="D9" s="11" t="s">
        <v>16</v>
      </c>
      <c r="E9" s="11" t="s">
        <v>15</v>
      </c>
      <c r="F9" s="11" t="s">
        <v>17</v>
      </c>
      <c r="G9" s="12" t="s">
        <v>18</v>
      </c>
      <c r="H9" s="13" t="s">
        <v>19</v>
      </c>
    </row>
    <row r="10" spans="1:8" x14ac:dyDescent="0.25">
      <c r="A10" s="14" t="s">
        <v>31</v>
      </c>
      <c r="B10" s="17">
        <v>500</v>
      </c>
      <c r="C10" s="17" t="s">
        <v>24</v>
      </c>
      <c r="D10" s="16"/>
      <c r="E10" s="17" t="s">
        <v>24</v>
      </c>
      <c r="F10" s="17">
        <v>200</v>
      </c>
      <c r="G10" s="16">
        <f>SUM(D10/B10)</f>
        <v>0</v>
      </c>
      <c r="H10" s="16">
        <f>SUM(G10*F10)</f>
        <v>0</v>
      </c>
    </row>
    <row r="11" spans="1:8" x14ac:dyDescent="0.25">
      <c r="A11" s="14" t="s">
        <v>32</v>
      </c>
      <c r="B11" s="17">
        <v>1000</v>
      </c>
      <c r="C11" s="17" t="s">
        <v>24</v>
      </c>
      <c r="D11" s="16"/>
      <c r="E11" s="17" t="s">
        <v>24</v>
      </c>
      <c r="F11" s="17">
        <v>1000</v>
      </c>
      <c r="G11" s="16">
        <f t="shared" ref="G11:G20" si="0">SUM(D11/B11)</f>
        <v>0</v>
      </c>
      <c r="H11" s="16">
        <f t="shared" ref="H11:H20" si="1">SUM(G11*F11)</f>
        <v>0</v>
      </c>
    </row>
    <row r="12" spans="1:8" x14ac:dyDescent="0.25">
      <c r="A12" s="14" t="s">
        <v>33</v>
      </c>
      <c r="B12" s="17">
        <v>1000</v>
      </c>
      <c r="C12" s="17" t="s">
        <v>24</v>
      </c>
      <c r="D12" s="16"/>
      <c r="E12" s="17" t="s">
        <v>24</v>
      </c>
      <c r="F12" s="17">
        <v>30</v>
      </c>
      <c r="G12" s="16">
        <f t="shared" si="0"/>
        <v>0</v>
      </c>
      <c r="H12" s="16">
        <f t="shared" si="1"/>
        <v>0</v>
      </c>
    </row>
    <row r="13" spans="1:8" x14ac:dyDescent="0.25">
      <c r="A13" s="14" t="s">
        <v>34</v>
      </c>
      <c r="B13" s="17">
        <v>1</v>
      </c>
      <c r="C13" s="17" t="s">
        <v>35</v>
      </c>
      <c r="D13" s="16"/>
      <c r="E13" s="17" t="s">
        <v>36</v>
      </c>
      <c r="F13" s="17">
        <v>5</v>
      </c>
      <c r="G13" s="16">
        <f t="shared" si="0"/>
        <v>0</v>
      </c>
      <c r="H13" s="16">
        <f t="shared" si="1"/>
        <v>0</v>
      </c>
    </row>
    <row r="14" spans="1:8" x14ac:dyDescent="0.25">
      <c r="A14" s="14" t="s">
        <v>37</v>
      </c>
      <c r="B14" s="17">
        <v>600</v>
      </c>
      <c r="C14" s="17" t="s">
        <v>38</v>
      </c>
      <c r="D14" s="16"/>
      <c r="E14" s="17" t="s">
        <v>38</v>
      </c>
      <c r="F14" s="17">
        <v>300</v>
      </c>
      <c r="G14" s="16">
        <f t="shared" si="0"/>
        <v>0</v>
      </c>
      <c r="H14" s="16">
        <f t="shared" si="1"/>
        <v>0</v>
      </c>
    </row>
    <row r="15" spans="1:8" x14ac:dyDescent="0.25">
      <c r="A15" s="14" t="s">
        <v>39</v>
      </c>
      <c r="B15" s="17">
        <v>5</v>
      </c>
      <c r="C15" s="17" t="s">
        <v>24</v>
      </c>
      <c r="D15" s="16"/>
      <c r="E15" s="17" t="s">
        <v>24</v>
      </c>
      <c r="F15" s="17">
        <v>10</v>
      </c>
      <c r="G15" s="16">
        <f t="shared" si="0"/>
        <v>0</v>
      </c>
      <c r="H15" s="16">
        <f t="shared" si="1"/>
        <v>0</v>
      </c>
    </row>
    <row r="16" spans="1:8" x14ac:dyDescent="0.25">
      <c r="A16" s="14" t="s">
        <v>40</v>
      </c>
      <c r="B16" s="17">
        <v>1000</v>
      </c>
      <c r="C16" s="17" t="s">
        <v>24</v>
      </c>
      <c r="D16" s="16"/>
      <c r="E16" s="17" t="s">
        <v>24</v>
      </c>
      <c r="F16" s="17">
        <v>5</v>
      </c>
      <c r="G16" s="16">
        <f t="shared" si="0"/>
        <v>0</v>
      </c>
      <c r="H16" s="16">
        <f t="shared" si="1"/>
        <v>0</v>
      </c>
    </row>
    <row r="17" spans="1:8" x14ac:dyDescent="0.25">
      <c r="A17" s="14" t="s">
        <v>41</v>
      </c>
      <c r="B17" s="17">
        <v>300</v>
      </c>
      <c r="C17" s="17" t="s">
        <v>24</v>
      </c>
      <c r="D17" s="16"/>
      <c r="E17" s="17" t="s">
        <v>24</v>
      </c>
      <c r="F17" s="17">
        <v>10</v>
      </c>
      <c r="G17" s="16">
        <f t="shared" si="0"/>
        <v>0</v>
      </c>
      <c r="H17" s="16">
        <f t="shared" si="1"/>
        <v>0</v>
      </c>
    </row>
    <row r="18" spans="1:8" x14ac:dyDescent="0.25">
      <c r="A18" s="14" t="s">
        <v>42</v>
      </c>
      <c r="B18" s="17">
        <v>1000</v>
      </c>
      <c r="C18" s="17" t="s">
        <v>24</v>
      </c>
      <c r="D18" s="16"/>
      <c r="E18" s="17" t="s">
        <v>24</v>
      </c>
      <c r="F18" s="17">
        <v>20</v>
      </c>
      <c r="G18" s="16">
        <f t="shared" si="0"/>
        <v>0</v>
      </c>
      <c r="H18" s="16">
        <f t="shared" si="1"/>
        <v>0</v>
      </c>
    </row>
    <row r="19" spans="1:8" x14ac:dyDescent="0.25">
      <c r="A19" s="14" t="s">
        <v>43</v>
      </c>
      <c r="B19" s="17">
        <v>1000</v>
      </c>
      <c r="C19" s="17" t="s">
        <v>38</v>
      </c>
      <c r="D19" s="16"/>
      <c r="E19" s="17" t="s">
        <v>38</v>
      </c>
      <c r="F19" s="17">
        <v>100</v>
      </c>
      <c r="G19" s="16">
        <f t="shared" si="0"/>
        <v>0</v>
      </c>
      <c r="H19" s="16">
        <f t="shared" si="1"/>
        <v>0</v>
      </c>
    </row>
    <row r="20" spans="1:8" x14ac:dyDescent="0.25">
      <c r="A20" s="14" t="s">
        <v>44</v>
      </c>
      <c r="B20" s="17">
        <v>1000</v>
      </c>
      <c r="C20" s="17" t="s">
        <v>24</v>
      </c>
      <c r="D20" s="16"/>
      <c r="E20" s="17" t="s">
        <v>24</v>
      </c>
      <c r="F20" s="17">
        <v>50</v>
      </c>
      <c r="G20" s="16">
        <f t="shared" si="0"/>
        <v>0</v>
      </c>
      <c r="H20" s="16">
        <f t="shared" si="1"/>
        <v>0</v>
      </c>
    </row>
    <row r="21" spans="1:8" x14ac:dyDescent="0.25">
      <c r="A21" s="15"/>
      <c r="B21" s="15"/>
      <c r="C21" s="15"/>
      <c r="D21" s="15"/>
      <c r="E21" s="15"/>
      <c r="F21" s="15"/>
      <c r="G21" s="15"/>
      <c r="H21" s="15"/>
    </row>
    <row r="22" spans="1:8" x14ac:dyDescent="0.25">
      <c r="A22" s="15"/>
      <c r="B22" s="15"/>
      <c r="C22" s="15"/>
      <c r="D22" s="15"/>
      <c r="E22" s="15"/>
      <c r="F22" s="15"/>
      <c r="G22" s="15"/>
      <c r="H22" s="15"/>
    </row>
    <row r="23" spans="1:8" x14ac:dyDescent="0.25">
      <c r="G23" s="15" t="s">
        <v>25</v>
      </c>
      <c r="H23" s="16">
        <f>SUM(H10:H20)</f>
        <v>0</v>
      </c>
    </row>
    <row r="24" spans="1:8" x14ac:dyDescent="0.25">
      <c r="G24" s="15" t="s">
        <v>45</v>
      </c>
      <c r="H24" s="16">
        <f>SUM(H23*20/100)</f>
        <v>0</v>
      </c>
    </row>
    <row r="25" spans="1:8" x14ac:dyDescent="0.25">
      <c r="G25" s="15" t="s">
        <v>46</v>
      </c>
      <c r="H25" s="16">
        <f>SUM(H23:H24)</f>
        <v>0</v>
      </c>
    </row>
    <row r="26" spans="1:8" x14ac:dyDescent="0.25">
      <c r="G26" s="15" t="s">
        <v>47</v>
      </c>
      <c r="H26" s="15"/>
    </row>
    <row r="27" spans="1:8" x14ac:dyDescent="0.25">
      <c r="G27" s="15" t="s">
        <v>29</v>
      </c>
      <c r="H27" s="16">
        <f>SUM(H25*100/30)</f>
        <v>0</v>
      </c>
    </row>
    <row r="28" spans="1:8" x14ac:dyDescent="0.25">
      <c r="A28" t="s">
        <v>74</v>
      </c>
      <c r="G28" s="15"/>
      <c r="H28" s="15"/>
    </row>
    <row r="30" spans="1:8" x14ac:dyDescent="0.25">
      <c r="A30">
        <v>1</v>
      </c>
    </row>
  </sheetData>
  <mergeCells count="4">
    <mergeCell ref="A1:H1"/>
    <mergeCell ref="A8:A9"/>
    <mergeCell ref="B8:D8"/>
    <mergeCell ref="E8:F8"/>
  </mergeCells>
  <pageMargins left="0.25" right="0.25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BE314A-AC52-4175-8581-2873B170E336}">
  <dimension ref="A1:H40"/>
  <sheetViews>
    <sheetView workbookViewId="0">
      <selection activeCell="A10" sqref="A10:H43"/>
    </sheetView>
  </sheetViews>
  <sheetFormatPr defaultRowHeight="15" x14ac:dyDescent="0.25"/>
  <cols>
    <col min="1" max="1" width="19" customWidth="1"/>
    <col min="2" max="2" width="8.28515625" customWidth="1"/>
    <col min="3" max="3" width="6.5703125" customWidth="1"/>
    <col min="4" max="4" width="13.5703125" customWidth="1"/>
    <col min="7" max="7" width="17.5703125" customWidth="1"/>
    <col min="8" max="8" width="17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3" spans="1:8" x14ac:dyDescent="0.25">
      <c r="A3" s="2" t="s">
        <v>1</v>
      </c>
      <c r="B3" s="2" t="s">
        <v>2</v>
      </c>
      <c r="C3" s="2"/>
      <c r="D3" s="2"/>
      <c r="E3" s="2"/>
      <c r="F3" s="2" t="s">
        <v>49</v>
      </c>
      <c r="G3" s="2"/>
      <c r="H3" s="2"/>
    </row>
    <row r="4" spans="1:8" x14ac:dyDescent="0.25">
      <c r="A4" s="2" t="s">
        <v>3</v>
      </c>
      <c r="B4" s="2" t="s">
        <v>4</v>
      </c>
      <c r="C4" s="2"/>
      <c r="D4" s="2"/>
      <c r="E4" s="2"/>
      <c r="F4" s="2"/>
      <c r="G4" s="2"/>
      <c r="H4" s="2"/>
    </row>
    <row r="5" spans="1:8" x14ac:dyDescent="0.25">
      <c r="A5" s="2" t="s">
        <v>5</v>
      </c>
      <c r="B5" s="2" t="s">
        <v>6</v>
      </c>
      <c r="C5" s="2"/>
      <c r="D5" s="2"/>
      <c r="E5" s="2"/>
      <c r="F5" s="2"/>
      <c r="G5" s="2"/>
      <c r="H5" s="2"/>
    </row>
    <row r="6" spans="1:8" x14ac:dyDescent="0.25">
      <c r="A6" s="2" t="s">
        <v>7</v>
      </c>
      <c r="B6" s="2" t="s">
        <v>8</v>
      </c>
      <c r="C6" s="2"/>
      <c r="D6" s="2"/>
      <c r="E6" s="2"/>
      <c r="F6" s="2"/>
      <c r="G6" s="2"/>
      <c r="H6" s="2"/>
    </row>
    <row r="7" spans="1:8" x14ac:dyDescent="0.25">
      <c r="A7" s="2"/>
      <c r="B7" s="2"/>
      <c r="C7" s="2"/>
      <c r="D7" s="2"/>
      <c r="E7" s="2"/>
      <c r="F7" s="2"/>
      <c r="G7" s="2"/>
      <c r="H7" s="2"/>
    </row>
    <row r="8" spans="1:8" ht="30" x14ac:dyDescent="0.25">
      <c r="A8" s="3" t="s">
        <v>9</v>
      </c>
      <c r="B8" s="4" t="s">
        <v>10</v>
      </c>
      <c r="C8" s="5"/>
      <c r="D8" s="6"/>
      <c r="E8" s="4" t="s">
        <v>11</v>
      </c>
      <c r="F8" s="6"/>
      <c r="G8" s="7" t="s">
        <v>12</v>
      </c>
      <c r="H8" s="8" t="s">
        <v>13</v>
      </c>
    </row>
    <row r="9" spans="1:8" ht="30" x14ac:dyDescent="0.25">
      <c r="A9" s="9"/>
      <c r="B9" s="10" t="s">
        <v>14</v>
      </c>
      <c r="C9" s="11" t="s">
        <v>15</v>
      </c>
      <c r="D9" s="11" t="s">
        <v>16</v>
      </c>
      <c r="E9" s="11" t="s">
        <v>15</v>
      </c>
      <c r="F9" s="11" t="s">
        <v>17</v>
      </c>
      <c r="G9" s="12" t="s">
        <v>18</v>
      </c>
      <c r="H9" s="13" t="s">
        <v>19</v>
      </c>
    </row>
    <row r="10" spans="1:8" x14ac:dyDescent="0.25">
      <c r="A10" s="14" t="s">
        <v>50</v>
      </c>
      <c r="B10" s="17">
        <v>1000</v>
      </c>
      <c r="C10" s="17" t="s">
        <v>24</v>
      </c>
      <c r="D10" s="17"/>
      <c r="E10" s="17" t="s">
        <v>24</v>
      </c>
      <c r="F10" s="17">
        <v>100</v>
      </c>
      <c r="G10" s="16">
        <f>SUM(D10/B10)</f>
        <v>0</v>
      </c>
      <c r="H10" s="16">
        <f>SUM(G10*F10)</f>
        <v>0</v>
      </c>
    </row>
    <row r="11" spans="1:8" x14ac:dyDescent="0.25">
      <c r="A11" s="14" t="s">
        <v>51</v>
      </c>
      <c r="B11" s="17">
        <v>1000</v>
      </c>
      <c r="C11" s="17" t="s">
        <v>24</v>
      </c>
      <c r="D11" s="17"/>
      <c r="E11" s="17" t="s">
        <v>24</v>
      </c>
      <c r="F11" s="17">
        <v>100</v>
      </c>
      <c r="G11" s="16">
        <f t="shared" ref="G11:G20" si="0">SUM(D11/B11)</f>
        <v>0</v>
      </c>
      <c r="H11" s="15"/>
    </row>
    <row r="12" spans="1:8" x14ac:dyDescent="0.25">
      <c r="A12" s="14" t="s">
        <v>52</v>
      </c>
      <c r="B12" s="17">
        <v>1000</v>
      </c>
      <c r="C12" s="17" t="s">
        <v>24</v>
      </c>
      <c r="D12" s="17"/>
      <c r="E12" s="17" t="s">
        <v>24</v>
      </c>
      <c r="F12" s="17">
        <v>100</v>
      </c>
      <c r="G12" s="16">
        <f t="shared" si="0"/>
        <v>0</v>
      </c>
      <c r="H12" s="15"/>
    </row>
    <row r="13" spans="1:8" x14ac:dyDescent="0.25">
      <c r="A13" s="14" t="s">
        <v>37</v>
      </c>
      <c r="B13" s="17">
        <v>600</v>
      </c>
      <c r="C13" s="17" t="s">
        <v>38</v>
      </c>
      <c r="D13" s="17"/>
      <c r="E13" s="17" t="s">
        <v>38</v>
      </c>
      <c r="F13" s="17">
        <v>200</v>
      </c>
      <c r="G13" s="16">
        <f t="shared" si="0"/>
        <v>0</v>
      </c>
      <c r="H13" s="15"/>
    </row>
    <row r="14" spans="1:8" x14ac:dyDescent="0.25">
      <c r="A14" s="14" t="s">
        <v>53</v>
      </c>
      <c r="B14" s="17"/>
      <c r="C14" s="17"/>
      <c r="D14" s="17"/>
      <c r="E14" s="17" t="s">
        <v>24</v>
      </c>
      <c r="F14" s="17">
        <v>100</v>
      </c>
      <c r="G14" s="16"/>
      <c r="H14" s="15"/>
    </row>
    <row r="15" spans="1:8" x14ac:dyDescent="0.25">
      <c r="A15" s="14" t="s">
        <v>41</v>
      </c>
      <c r="B15" s="17">
        <v>300</v>
      </c>
      <c r="C15" s="17" t="s">
        <v>24</v>
      </c>
      <c r="D15" s="17"/>
      <c r="E15" s="17" t="s">
        <v>24</v>
      </c>
      <c r="F15" s="17">
        <v>20</v>
      </c>
      <c r="G15" s="16">
        <f t="shared" si="0"/>
        <v>0</v>
      </c>
      <c r="H15" s="15"/>
    </row>
    <row r="16" spans="1:8" x14ac:dyDescent="0.25">
      <c r="A16" s="14" t="s">
        <v>39</v>
      </c>
      <c r="B16" s="17">
        <v>5</v>
      </c>
      <c r="C16" s="17" t="s">
        <v>24</v>
      </c>
      <c r="D16" s="17"/>
      <c r="E16" s="17" t="s">
        <v>24</v>
      </c>
      <c r="F16" s="17">
        <v>10</v>
      </c>
      <c r="G16" s="16">
        <f t="shared" si="0"/>
        <v>0</v>
      </c>
      <c r="H16" s="15"/>
    </row>
    <row r="17" spans="1:8" x14ac:dyDescent="0.25">
      <c r="A17" s="14" t="s">
        <v>44</v>
      </c>
      <c r="B17" s="17">
        <v>1000</v>
      </c>
      <c r="C17" s="17" t="s">
        <v>24</v>
      </c>
      <c r="D17" s="17"/>
      <c r="E17" s="17" t="s">
        <v>24</v>
      </c>
      <c r="F17" s="17">
        <v>30</v>
      </c>
      <c r="G17" s="16">
        <f t="shared" si="0"/>
        <v>0</v>
      </c>
      <c r="H17" s="15"/>
    </row>
    <row r="18" spans="1:8" x14ac:dyDescent="0.25">
      <c r="A18" s="14" t="s">
        <v>34</v>
      </c>
      <c r="B18" s="17">
        <v>1</v>
      </c>
      <c r="C18" s="17" t="s">
        <v>36</v>
      </c>
      <c r="D18" s="17"/>
      <c r="E18" s="17" t="s">
        <v>36</v>
      </c>
      <c r="F18" s="17">
        <v>5</v>
      </c>
      <c r="G18" s="16">
        <f t="shared" si="0"/>
        <v>0</v>
      </c>
      <c r="H18" s="15"/>
    </row>
    <row r="19" spans="1:8" x14ac:dyDescent="0.25">
      <c r="A19" s="14" t="s">
        <v>54</v>
      </c>
      <c r="B19" s="17">
        <v>1000</v>
      </c>
      <c r="C19" s="17" t="s">
        <v>38</v>
      </c>
      <c r="D19" s="17"/>
      <c r="E19" s="17" t="s">
        <v>38</v>
      </c>
      <c r="F19" s="17">
        <v>100</v>
      </c>
      <c r="G19" s="16">
        <f t="shared" si="0"/>
        <v>0</v>
      </c>
      <c r="H19" s="15"/>
    </row>
    <row r="20" spans="1:8" x14ac:dyDescent="0.25">
      <c r="A20" s="14" t="s">
        <v>33</v>
      </c>
      <c r="B20" s="17">
        <v>1000</v>
      </c>
      <c r="C20" s="17" t="s">
        <v>24</v>
      </c>
      <c r="D20" s="17"/>
      <c r="E20" s="17" t="s">
        <v>24</v>
      </c>
      <c r="F20" s="17">
        <v>30</v>
      </c>
      <c r="G20" s="16">
        <f t="shared" si="0"/>
        <v>0</v>
      </c>
      <c r="H20" s="15"/>
    </row>
    <row r="21" spans="1:8" x14ac:dyDescent="0.25">
      <c r="A21" s="15"/>
      <c r="B21" s="15"/>
      <c r="C21" s="15"/>
      <c r="D21" s="15"/>
      <c r="E21" s="15"/>
      <c r="F21" s="17"/>
      <c r="G21" s="15"/>
      <c r="H21" s="15"/>
    </row>
    <row r="22" spans="1:8" x14ac:dyDescent="0.25">
      <c r="A22" s="15"/>
      <c r="B22" s="15"/>
      <c r="C22" s="15"/>
      <c r="D22" s="15"/>
      <c r="E22" s="15"/>
      <c r="F22" s="17"/>
      <c r="G22" s="15"/>
      <c r="H22" s="15"/>
    </row>
    <row r="23" spans="1:8" x14ac:dyDescent="0.25">
      <c r="A23" s="15"/>
      <c r="B23" s="15"/>
      <c r="C23" s="15"/>
      <c r="D23" s="15"/>
      <c r="E23" s="15"/>
      <c r="F23" s="15"/>
      <c r="G23" s="15"/>
      <c r="H23" s="15"/>
    </row>
    <row r="24" spans="1:8" x14ac:dyDescent="0.25">
      <c r="G24" s="15" t="s">
        <v>25</v>
      </c>
      <c r="H24" s="16">
        <f>SUM(H10:H23)</f>
        <v>0</v>
      </c>
    </row>
    <row r="25" spans="1:8" x14ac:dyDescent="0.25">
      <c r="G25" s="15" t="s">
        <v>26</v>
      </c>
      <c r="H25" s="16">
        <f>SUM(H24*20/100)</f>
        <v>0</v>
      </c>
    </row>
    <row r="26" spans="1:8" x14ac:dyDescent="0.25">
      <c r="G26" s="15" t="s">
        <v>46</v>
      </c>
      <c r="H26" s="16">
        <f>SUM(H24:H25)</f>
        <v>0</v>
      </c>
    </row>
    <row r="27" spans="1:8" x14ac:dyDescent="0.25">
      <c r="G27" s="15" t="s">
        <v>47</v>
      </c>
      <c r="H27" s="15"/>
    </row>
    <row r="28" spans="1:8" x14ac:dyDescent="0.25">
      <c r="G28" s="15" t="s">
        <v>29</v>
      </c>
      <c r="H28" s="16">
        <f>SUM(H26*100/30)</f>
        <v>0</v>
      </c>
    </row>
    <row r="29" spans="1:8" x14ac:dyDescent="0.25">
      <c r="G29" s="15"/>
      <c r="H29" s="15"/>
    </row>
    <row r="30" spans="1:8" x14ac:dyDescent="0.25">
      <c r="A30" t="s">
        <v>55</v>
      </c>
    </row>
    <row r="31" spans="1:8" x14ac:dyDescent="0.25">
      <c r="A31" t="s">
        <v>56</v>
      </c>
    </row>
    <row r="32" spans="1:8" x14ac:dyDescent="0.25">
      <c r="A32" t="s">
        <v>57</v>
      </c>
    </row>
    <row r="33" spans="1:1" x14ac:dyDescent="0.25">
      <c r="A33" t="s">
        <v>58</v>
      </c>
    </row>
    <row r="34" spans="1:1" x14ac:dyDescent="0.25">
      <c r="A34" t="s">
        <v>59</v>
      </c>
    </row>
    <row r="35" spans="1:1" x14ac:dyDescent="0.25">
      <c r="A35" t="s">
        <v>60</v>
      </c>
    </row>
    <row r="36" spans="1:1" x14ac:dyDescent="0.25">
      <c r="A36" t="s">
        <v>61</v>
      </c>
    </row>
    <row r="37" spans="1:1" x14ac:dyDescent="0.25">
      <c r="A37" t="s">
        <v>62</v>
      </c>
    </row>
    <row r="38" spans="1:1" x14ac:dyDescent="0.25">
      <c r="A38" t="s">
        <v>63</v>
      </c>
    </row>
    <row r="39" spans="1:1" x14ac:dyDescent="0.25">
      <c r="A39" t="s">
        <v>64</v>
      </c>
    </row>
    <row r="40" spans="1:1" x14ac:dyDescent="0.25">
      <c r="A40" t="s">
        <v>65</v>
      </c>
    </row>
  </sheetData>
  <mergeCells count="4">
    <mergeCell ref="A1:H1"/>
    <mergeCell ref="A8:A9"/>
    <mergeCell ref="B8:D8"/>
    <mergeCell ref="E8:F8"/>
  </mergeCells>
  <pageMargins left="0.25" right="0.25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2A9C03-8F4D-4FE1-9398-26870247C0B5}">
  <dimension ref="A1:H40"/>
  <sheetViews>
    <sheetView workbookViewId="0">
      <selection sqref="A1:H9"/>
    </sheetView>
  </sheetViews>
  <sheetFormatPr defaultRowHeight="15" x14ac:dyDescent="0.25"/>
  <cols>
    <col min="1" max="1" width="17" customWidth="1"/>
    <col min="7" max="7" width="19.85546875" customWidth="1"/>
    <col min="8" max="8" width="17.28515625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3" spans="1:8" x14ac:dyDescent="0.25">
      <c r="A3" s="2" t="s">
        <v>1</v>
      </c>
      <c r="B3" s="2" t="s">
        <v>76</v>
      </c>
      <c r="C3" s="2"/>
      <c r="D3" s="2"/>
      <c r="E3" s="2"/>
      <c r="F3" s="2" t="s">
        <v>75</v>
      </c>
      <c r="G3" s="2"/>
      <c r="H3" s="2"/>
    </row>
    <row r="4" spans="1:8" x14ac:dyDescent="0.25">
      <c r="A4" s="2" t="s">
        <v>3</v>
      </c>
      <c r="B4" s="2" t="s">
        <v>4</v>
      </c>
      <c r="C4" s="2"/>
      <c r="D4" s="2"/>
      <c r="E4" s="2"/>
      <c r="F4" s="2"/>
      <c r="G4" s="2"/>
      <c r="H4" s="2"/>
    </row>
    <row r="5" spans="1:8" x14ac:dyDescent="0.25">
      <c r="A5" s="2" t="s">
        <v>5</v>
      </c>
      <c r="B5" s="2" t="s">
        <v>21</v>
      </c>
      <c r="C5" s="2"/>
      <c r="D5" s="2"/>
      <c r="E5" s="2"/>
      <c r="F5" s="2"/>
      <c r="G5" s="2"/>
      <c r="H5" s="2"/>
    </row>
    <row r="6" spans="1:8" x14ac:dyDescent="0.25">
      <c r="A6" s="2" t="s">
        <v>7</v>
      </c>
      <c r="B6" s="2" t="s">
        <v>8</v>
      </c>
      <c r="C6" s="2"/>
      <c r="D6" s="2"/>
      <c r="E6" s="2"/>
      <c r="F6" s="2"/>
      <c r="G6" s="2"/>
      <c r="H6" s="2"/>
    </row>
    <row r="7" spans="1:8" x14ac:dyDescent="0.25">
      <c r="A7" s="2"/>
      <c r="B7" s="2"/>
      <c r="C7" s="2"/>
      <c r="D7" s="2"/>
      <c r="E7" s="2"/>
      <c r="F7" s="2"/>
      <c r="G7" s="2"/>
      <c r="H7" s="2"/>
    </row>
    <row r="8" spans="1:8" ht="30" x14ac:dyDescent="0.25">
      <c r="A8" s="3" t="s">
        <v>9</v>
      </c>
      <c r="B8" s="4" t="s">
        <v>10</v>
      </c>
      <c r="C8" s="5"/>
      <c r="D8" s="6"/>
      <c r="E8" s="4" t="s">
        <v>11</v>
      </c>
      <c r="F8" s="6"/>
      <c r="G8" s="7" t="s">
        <v>12</v>
      </c>
      <c r="H8" s="8" t="s">
        <v>13</v>
      </c>
    </row>
    <row r="9" spans="1:8" ht="30" x14ac:dyDescent="0.25">
      <c r="A9" s="9"/>
      <c r="B9" s="10" t="s">
        <v>14</v>
      </c>
      <c r="C9" s="11" t="s">
        <v>15</v>
      </c>
      <c r="D9" s="11" t="s">
        <v>16</v>
      </c>
      <c r="E9" s="11" t="s">
        <v>15</v>
      </c>
      <c r="F9" s="11" t="s">
        <v>17</v>
      </c>
      <c r="G9" s="12" t="s">
        <v>18</v>
      </c>
      <c r="H9" s="13" t="s">
        <v>19</v>
      </c>
    </row>
    <row r="10" spans="1:8" x14ac:dyDescent="0.25">
      <c r="A10" s="14" t="s">
        <v>79</v>
      </c>
      <c r="B10" s="17">
        <v>1000</v>
      </c>
      <c r="C10" s="17" t="s">
        <v>24</v>
      </c>
      <c r="D10" s="17"/>
      <c r="E10" s="17" t="s">
        <v>24</v>
      </c>
      <c r="F10" s="17">
        <v>100</v>
      </c>
      <c r="G10" s="16">
        <f>SUM(D10/B10)</f>
        <v>0</v>
      </c>
      <c r="H10" s="16">
        <f>SUM(G10*F10)</f>
        <v>0</v>
      </c>
    </row>
    <row r="11" spans="1:8" x14ac:dyDescent="0.25">
      <c r="A11" s="14" t="s">
        <v>78</v>
      </c>
      <c r="B11" s="17">
        <v>1000</v>
      </c>
      <c r="C11" s="17" t="s">
        <v>24</v>
      </c>
      <c r="D11" s="17"/>
      <c r="E11" s="17" t="s">
        <v>24</v>
      </c>
      <c r="F11" s="17">
        <v>100</v>
      </c>
      <c r="G11" s="16">
        <f t="shared" ref="G11:G20" si="0">SUM(D11/B11)</f>
        <v>0</v>
      </c>
      <c r="H11" s="15"/>
    </row>
    <row r="12" spans="1:8" x14ac:dyDescent="0.25">
      <c r="A12" s="14" t="s">
        <v>77</v>
      </c>
      <c r="B12" s="17">
        <v>1000</v>
      </c>
      <c r="C12" s="17" t="s">
        <v>24</v>
      </c>
      <c r="D12" s="17"/>
      <c r="E12" s="17" t="s">
        <v>24</v>
      </c>
      <c r="F12" s="17">
        <v>100</v>
      </c>
      <c r="G12" s="16">
        <f t="shared" si="0"/>
        <v>0</v>
      </c>
      <c r="H12" s="15"/>
    </row>
    <row r="13" spans="1:8" x14ac:dyDescent="0.25">
      <c r="A13" s="14" t="s">
        <v>37</v>
      </c>
      <c r="B13" s="17">
        <v>600</v>
      </c>
      <c r="C13" s="17" t="s">
        <v>38</v>
      </c>
      <c r="D13" s="17"/>
      <c r="E13" s="17" t="s">
        <v>38</v>
      </c>
      <c r="F13" s="17">
        <v>200</v>
      </c>
      <c r="G13" s="16">
        <f t="shared" si="0"/>
        <v>0</v>
      </c>
      <c r="H13" s="15"/>
    </row>
    <row r="14" spans="1:8" x14ac:dyDescent="0.25">
      <c r="A14" s="14" t="s">
        <v>53</v>
      </c>
      <c r="B14" s="17"/>
      <c r="C14" s="17"/>
      <c r="D14" s="17"/>
      <c r="E14" s="17" t="s">
        <v>24</v>
      </c>
      <c r="F14" s="17">
        <v>100</v>
      </c>
      <c r="G14" s="16"/>
      <c r="H14" s="15"/>
    </row>
    <row r="15" spans="1:8" x14ac:dyDescent="0.25">
      <c r="A15" s="14" t="s">
        <v>41</v>
      </c>
      <c r="B15" s="17">
        <v>300</v>
      </c>
      <c r="C15" s="17" t="s">
        <v>24</v>
      </c>
      <c r="D15" s="17"/>
      <c r="E15" s="17" t="s">
        <v>24</v>
      </c>
      <c r="F15" s="17">
        <v>20</v>
      </c>
      <c r="G15" s="16">
        <f t="shared" si="0"/>
        <v>0</v>
      </c>
      <c r="H15" s="15"/>
    </row>
    <row r="16" spans="1:8" x14ac:dyDescent="0.25">
      <c r="A16" s="14" t="s">
        <v>39</v>
      </c>
      <c r="B16" s="17">
        <v>5</v>
      </c>
      <c r="C16" s="17" t="s">
        <v>24</v>
      </c>
      <c r="D16" s="17"/>
      <c r="E16" s="17" t="s">
        <v>24</v>
      </c>
      <c r="F16" s="17">
        <v>10</v>
      </c>
      <c r="G16" s="16">
        <f t="shared" si="0"/>
        <v>0</v>
      </c>
      <c r="H16" s="15"/>
    </row>
    <row r="17" spans="1:8" x14ac:dyDescent="0.25">
      <c r="A17" s="14" t="s">
        <v>44</v>
      </c>
      <c r="B17" s="17">
        <v>1000</v>
      </c>
      <c r="C17" s="17" t="s">
        <v>24</v>
      </c>
      <c r="D17" s="17"/>
      <c r="E17" s="17" t="s">
        <v>24</v>
      </c>
      <c r="F17" s="17">
        <v>30</v>
      </c>
      <c r="G17" s="16">
        <f t="shared" si="0"/>
        <v>0</v>
      </c>
      <c r="H17" s="15"/>
    </row>
    <row r="18" spans="1:8" x14ac:dyDescent="0.25">
      <c r="A18" s="14" t="s">
        <v>34</v>
      </c>
      <c r="B18" s="17">
        <v>1</v>
      </c>
      <c r="C18" s="17" t="s">
        <v>36</v>
      </c>
      <c r="D18" s="17"/>
      <c r="E18" s="17" t="s">
        <v>36</v>
      </c>
      <c r="F18" s="17">
        <v>5</v>
      </c>
      <c r="G18" s="16">
        <f t="shared" si="0"/>
        <v>0</v>
      </c>
      <c r="H18" s="15"/>
    </row>
    <row r="19" spans="1:8" x14ac:dyDescent="0.25">
      <c r="A19" s="14" t="s">
        <v>54</v>
      </c>
      <c r="B19" s="17">
        <v>1000</v>
      </c>
      <c r="C19" s="17" t="s">
        <v>38</v>
      </c>
      <c r="D19" s="17"/>
      <c r="E19" s="17" t="s">
        <v>38</v>
      </c>
      <c r="F19" s="17">
        <v>100</v>
      </c>
      <c r="G19" s="16">
        <f t="shared" si="0"/>
        <v>0</v>
      </c>
      <c r="H19" s="15"/>
    </row>
    <row r="20" spans="1:8" x14ac:dyDescent="0.25">
      <c r="A20" s="14" t="s">
        <v>33</v>
      </c>
      <c r="B20" s="17">
        <v>1000</v>
      </c>
      <c r="C20" s="17" t="s">
        <v>24</v>
      </c>
      <c r="D20" s="17"/>
      <c r="E20" s="17" t="s">
        <v>24</v>
      </c>
      <c r="F20" s="17">
        <v>30</v>
      </c>
      <c r="G20" s="16">
        <f t="shared" si="0"/>
        <v>0</v>
      </c>
      <c r="H20" s="15"/>
    </row>
    <row r="21" spans="1:8" x14ac:dyDescent="0.25">
      <c r="A21" s="15"/>
      <c r="B21" s="15"/>
      <c r="C21" s="15"/>
      <c r="D21" s="15"/>
      <c r="E21" s="15"/>
      <c r="F21" s="17"/>
      <c r="G21" s="15"/>
      <c r="H21" s="15"/>
    </row>
    <row r="22" spans="1:8" x14ac:dyDescent="0.25">
      <c r="A22" s="15"/>
      <c r="B22" s="15"/>
      <c r="C22" s="15"/>
      <c r="D22" s="15"/>
      <c r="E22" s="15"/>
      <c r="F22" s="17"/>
      <c r="G22" s="15"/>
      <c r="H22" s="15"/>
    </row>
    <row r="23" spans="1:8" x14ac:dyDescent="0.25">
      <c r="A23" s="15"/>
      <c r="B23" s="15"/>
      <c r="C23" s="15"/>
      <c r="D23" s="15"/>
      <c r="E23" s="15"/>
      <c r="F23" s="15"/>
      <c r="G23" s="15"/>
      <c r="H23" s="15"/>
    </row>
    <row r="24" spans="1:8" x14ac:dyDescent="0.25">
      <c r="G24" s="15" t="s">
        <v>25</v>
      </c>
      <c r="H24" s="16">
        <f>SUM(H10:H23)</f>
        <v>0</v>
      </c>
    </row>
    <row r="25" spans="1:8" x14ac:dyDescent="0.25">
      <c r="G25" s="15" t="s">
        <v>26</v>
      </c>
      <c r="H25" s="16">
        <f>SUM(H24*20/100)</f>
        <v>0</v>
      </c>
    </row>
    <row r="26" spans="1:8" x14ac:dyDescent="0.25">
      <c r="G26" s="15" t="s">
        <v>46</v>
      </c>
      <c r="H26" s="16">
        <f>SUM(H24:H25)</f>
        <v>0</v>
      </c>
    </row>
    <row r="27" spans="1:8" x14ac:dyDescent="0.25">
      <c r="G27" s="15" t="s">
        <v>47</v>
      </c>
      <c r="H27" s="15"/>
    </row>
    <row r="28" spans="1:8" x14ac:dyDescent="0.25">
      <c r="G28" s="15" t="s">
        <v>29</v>
      </c>
      <c r="H28" s="16">
        <f>SUM(H26*100/30)</f>
        <v>0</v>
      </c>
    </row>
    <row r="29" spans="1:8" x14ac:dyDescent="0.25">
      <c r="G29" s="15"/>
      <c r="H29" s="15"/>
    </row>
    <row r="30" spans="1:8" x14ac:dyDescent="0.25">
      <c r="A30" t="s">
        <v>55</v>
      </c>
    </row>
    <row r="31" spans="1:8" x14ac:dyDescent="0.25">
      <c r="A31" t="s">
        <v>56</v>
      </c>
    </row>
    <row r="32" spans="1:8" x14ac:dyDescent="0.25">
      <c r="A32" t="s">
        <v>57</v>
      </c>
    </row>
    <row r="33" spans="1:1" x14ac:dyDescent="0.25">
      <c r="A33" t="s">
        <v>58</v>
      </c>
    </row>
    <row r="34" spans="1:1" x14ac:dyDescent="0.25">
      <c r="A34" t="s">
        <v>59</v>
      </c>
    </row>
    <row r="35" spans="1:1" x14ac:dyDescent="0.25">
      <c r="A35" t="s">
        <v>60</v>
      </c>
    </row>
    <row r="36" spans="1:1" x14ac:dyDescent="0.25">
      <c r="A36" t="s">
        <v>61</v>
      </c>
    </row>
    <row r="37" spans="1:1" x14ac:dyDescent="0.25">
      <c r="A37" t="s">
        <v>62</v>
      </c>
    </row>
    <row r="38" spans="1:1" x14ac:dyDescent="0.25">
      <c r="A38" t="s">
        <v>63</v>
      </c>
    </row>
    <row r="39" spans="1:1" x14ac:dyDescent="0.25">
      <c r="A39" t="s">
        <v>64</v>
      </c>
    </row>
    <row r="40" spans="1:1" x14ac:dyDescent="0.25">
      <c r="A40" t="s">
        <v>65</v>
      </c>
    </row>
  </sheetData>
  <mergeCells count="4">
    <mergeCell ref="A1:H1"/>
    <mergeCell ref="A8:A9"/>
    <mergeCell ref="B8:D8"/>
    <mergeCell ref="E8:F8"/>
  </mergeCells>
  <pageMargins left="0.25" right="0.25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4BD609-AB4A-49F8-A74A-3EA24DDE3FF2}">
  <dimension ref="A1:H67"/>
  <sheetViews>
    <sheetView tabSelected="1" topLeftCell="A49" workbookViewId="0">
      <selection activeCell="G69" sqref="G69"/>
    </sheetView>
  </sheetViews>
  <sheetFormatPr defaultRowHeight="15" x14ac:dyDescent="0.25"/>
  <cols>
    <col min="1" max="1" width="18" customWidth="1"/>
    <col min="7" max="7" width="14.28515625" customWidth="1"/>
    <col min="8" max="8" width="17.42578125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3" spans="1:8" x14ac:dyDescent="0.25">
      <c r="A3" s="2" t="s">
        <v>1</v>
      </c>
      <c r="B3" s="2" t="s">
        <v>76</v>
      </c>
      <c r="C3" s="2"/>
      <c r="D3" s="2"/>
      <c r="E3" s="2"/>
      <c r="F3" s="2" t="s">
        <v>89</v>
      </c>
      <c r="G3" s="2"/>
      <c r="H3" s="2"/>
    </row>
    <row r="4" spans="1:8" x14ac:dyDescent="0.25">
      <c r="A4" s="2" t="s">
        <v>3</v>
      </c>
      <c r="B4" s="2" t="s">
        <v>4</v>
      </c>
      <c r="C4" s="2"/>
      <c r="D4" s="2"/>
      <c r="E4" s="2"/>
      <c r="F4" s="2"/>
      <c r="G4" s="2"/>
      <c r="H4" s="2"/>
    </row>
    <row r="5" spans="1:8" x14ac:dyDescent="0.25">
      <c r="A5" s="2" t="s">
        <v>5</v>
      </c>
      <c r="B5" s="2" t="s">
        <v>90</v>
      </c>
      <c r="C5" s="2"/>
      <c r="D5" s="2"/>
      <c r="E5" s="2"/>
      <c r="F5" s="2"/>
      <c r="G5" s="2"/>
      <c r="H5" s="2"/>
    </row>
    <row r="6" spans="1:8" x14ac:dyDescent="0.25">
      <c r="A6" s="2" t="s">
        <v>7</v>
      </c>
      <c r="B6" s="2">
        <v>0</v>
      </c>
      <c r="C6" s="2"/>
      <c r="D6" s="2"/>
      <c r="E6" s="2"/>
      <c r="F6" s="2"/>
      <c r="G6" s="2"/>
      <c r="H6" s="2"/>
    </row>
    <row r="7" spans="1:8" x14ac:dyDescent="0.25">
      <c r="A7" s="2"/>
      <c r="B7" s="2"/>
      <c r="C7" s="2"/>
      <c r="D7" s="2"/>
      <c r="E7" s="2"/>
      <c r="F7" s="2"/>
      <c r="G7" s="2"/>
      <c r="H7" s="2"/>
    </row>
    <row r="8" spans="1:8" ht="30" x14ac:dyDescent="0.25">
      <c r="A8" s="3" t="s">
        <v>9</v>
      </c>
      <c r="B8" s="4" t="s">
        <v>10</v>
      </c>
      <c r="C8" s="5"/>
      <c r="D8" s="6"/>
      <c r="E8" s="4" t="s">
        <v>11</v>
      </c>
      <c r="F8" s="6"/>
      <c r="G8" s="7" t="s">
        <v>12</v>
      </c>
      <c r="H8" s="8" t="s">
        <v>13</v>
      </c>
    </row>
    <row r="9" spans="1:8" ht="30" x14ac:dyDescent="0.25">
      <c r="A9" s="9"/>
      <c r="B9" s="10" t="s">
        <v>14</v>
      </c>
      <c r="C9" s="11" t="s">
        <v>15</v>
      </c>
      <c r="D9" s="11" t="s">
        <v>16</v>
      </c>
      <c r="E9" s="11" t="s">
        <v>15</v>
      </c>
      <c r="F9" s="11" t="s">
        <v>17</v>
      </c>
      <c r="G9" s="12" t="s">
        <v>18</v>
      </c>
      <c r="H9" s="13" t="s">
        <v>19</v>
      </c>
    </row>
    <row r="10" spans="1:8" x14ac:dyDescent="0.25">
      <c r="A10" s="14" t="s">
        <v>80</v>
      </c>
      <c r="B10" s="15"/>
      <c r="C10" s="15"/>
      <c r="D10" s="15"/>
      <c r="E10" s="15"/>
      <c r="F10" s="15"/>
      <c r="G10" s="15"/>
      <c r="H10" s="15"/>
    </row>
    <row r="11" spans="1:8" x14ac:dyDescent="0.25">
      <c r="A11" s="14" t="s">
        <v>81</v>
      </c>
      <c r="B11" s="17">
        <v>1000</v>
      </c>
      <c r="C11" s="17" t="s">
        <v>24</v>
      </c>
      <c r="D11" s="17"/>
      <c r="E11" s="17" t="s">
        <v>24</v>
      </c>
      <c r="F11" s="17">
        <v>100</v>
      </c>
      <c r="G11" s="16">
        <f>SUM(D11/B11)</f>
        <v>0</v>
      </c>
      <c r="H11" s="16">
        <f>SUM(G11*F11)</f>
        <v>0</v>
      </c>
    </row>
    <row r="12" spans="1:8" x14ac:dyDescent="0.25">
      <c r="A12" s="14" t="s">
        <v>82</v>
      </c>
      <c r="B12" s="17">
        <v>1000</v>
      </c>
      <c r="C12" s="17" t="s">
        <v>24</v>
      </c>
      <c r="D12" s="17"/>
      <c r="E12" s="17" t="s">
        <v>24</v>
      </c>
      <c r="F12" s="17">
        <v>100</v>
      </c>
      <c r="G12" s="16">
        <f t="shared" ref="G12:G20" si="0">SUM(D12/B12)</f>
        <v>0</v>
      </c>
      <c r="H12" s="16">
        <f t="shared" ref="H12:H20" si="1">SUM(G12*F12)</f>
        <v>0</v>
      </c>
    </row>
    <row r="13" spans="1:8" x14ac:dyDescent="0.25">
      <c r="A13" s="14" t="s">
        <v>83</v>
      </c>
      <c r="B13" s="17">
        <v>1000</v>
      </c>
      <c r="C13" s="17" t="s">
        <v>24</v>
      </c>
      <c r="D13" s="17"/>
      <c r="E13" s="17" t="s">
        <v>24</v>
      </c>
      <c r="F13" s="17">
        <v>100</v>
      </c>
      <c r="G13" s="16">
        <f t="shared" si="0"/>
        <v>0</v>
      </c>
      <c r="H13" s="16">
        <f t="shared" si="1"/>
        <v>0</v>
      </c>
    </row>
    <row r="14" spans="1:8" x14ac:dyDescent="0.25">
      <c r="A14" s="14" t="s">
        <v>84</v>
      </c>
      <c r="B14" s="17">
        <v>1000</v>
      </c>
      <c r="C14" s="17" t="s">
        <v>24</v>
      </c>
      <c r="D14" s="17"/>
      <c r="E14" s="17" t="s">
        <v>24</v>
      </c>
      <c r="F14" s="17">
        <v>100</v>
      </c>
      <c r="G14" s="16">
        <f t="shared" si="0"/>
        <v>0</v>
      </c>
      <c r="H14" s="16">
        <f t="shared" si="1"/>
        <v>0</v>
      </c>
    </row>
    <row r="15" spans="1:8" x14ac:dyDescent="0.25">
      <c r="A15" s="14" t="s">
        <v>85</v>
      </c>
      <c r="B15" s="17"/>
      <c r="C15" s="17"/>
      <c r="D15" s="17"/>
      <c r="E15" s="17"/>
      <c r="F15" s="17"/>
      <c r="G15" s="16"/>
      <c r="H15" s="16"/>
    </row>
    <row r="16" spans="1:8" x14ac:dyDescent="0.25">
      <c r="A16" s="14" t="s">
        <v>33</v>
      </c>
      <c r="B16" s="17">
        <v>1000</v>
      </c>
      <c r="C16" s="17" t="s">
        <v>24</v>
      </c>
      <c r="D16" s="17"/>
      <c r="E16" s="17" t="s">
        <v>24</v>
      </c>
      <c r="F16" s="17">
        <v>50</v>
      </c>
      <c r="G16" s="16">
        <f t="shared" si="0"/>
        <v>0</v>
      </c>
      <c r="H16" s="16">
        <f t="shared" si="1"/>
        <v>0</v>
      </c>
    </row>
    <row r="17" spans="1:8" x14ac:dyDescent="0.25">
      <c r="A17" s="14" t="s">
        <v>86</v>
      </c>
      <c r="B17" s="17">
        <v>1000</v>
      </c>
      <c r="C17" s="17" t="s">
        <v>24</v>
      </c>
      <c r="D17" s="17"/>
      <c r="E17" s="17" t="s">
        <v>24</v>
      </c>
      <c r="F17" s="17">
        <v>50</v>
      </c>
      <c r="G17" s="16">
        <f t="shared" si="0"/>
        <v>0</v>
      </c>
      <c r="H17" s="16">
        <f t="shared" si="1"/>
        <v>0</v>
      </c>
    </row>
    <row r="18" spans="1:8" x14ac:dyDescent="0.25">
      <c r="A18" s="14" t="s">
        <v>87</v>
      </c>
      <c r="B18" s="17">
        <v>1000</v>
      </c>
      <c r="C18" s="17" t="s">
        <v>24</v>
      </c>
      <c r="D18" s="17"/>
      <c r="E18" s="17" t="s">
        <v>24</v>
      </c>
      <c r="F18" s="17">
        <v>100</v>
      </c>
      <c r="G18" s="16">
        <f t="shared" si="0"/>
        <v>0</v>
      </c>
      <c r="H18" s="16">
        <f t="shared" si="1"/>
        <v>0</v>
      </c>
    </row>
    <row r="19" spans="1:8" x14ac:dyDescent="0.25">
      <c r="A19" s="14" t="s">
        <v>88</v>
      </c>
      <c r="B19" s="17">
        <v>1000</v>
      </c>
      <c r="C19" s="17" t="s">
        <v>24</v>
      </c>
      <c r="D19" s="17"/>
      <c r="E19" s="17" t="s">
        <v>24</v>
      </c>
      <c r="F19" s="17">
        <v>200</v>
      </c>
      <c r="G19" s="16">
        <f t="shared" si="0"/>
        <v>0</v>
      </c>
      <c r="H19" s="16">
        <f t="shared" si="1"/>
        <v>0</v>
      </c>
    </row>
    <row r="20" spans="1:8" x14ac:dyDescent="0.25">
      <c r="A20" s="14" t="s">
        <v>43</v>
      </c>
      <c r="B20" s="17">
        <v>1000</v>
      </c>
      <c r="C20" s="17" t="s">
        <v>38</v>
      </c>
      <c r="D20" s="17"/>
      <c r="E20" s="17" t="s">
        <v>38</v>
      </c>
      <c r="F20" s="17">
        <v>100</v>
      </c>
      <c r="G20" s="16">
        <f t="shared" si="0"/>
        <v>0</v>
      </c>
      <c r="H20" s="16">
        <f t="shared" si="1"/>
        <v>0</v>
      </c>
    </row>
    <row r="21" spans="1:8" x14ac:dyDescent="0.25">
      <c r="A21" s="15"/>
      <c r="B21" s="17"/>
      <c r="C21" s="17"/>
      <c r="D21" s="17"/>
      <c r="E21" s="17"/>
      <c r="F21" s="17"/>
      <c r="G21" s="15"/>
      <c r="H21" s="15"/>
    </row>
    <row r="22" spans="1:8" x14ac:dyDescent="0.25">
      <c r="A22" s="15"/>
      <c r="B22" s="15"/>
      <c r="C22" s="15"/>
      <c r="D22" s="15"/>
      <c r="E22" s="15"/>
      <c r="F22" s="15"/>
      <c r="G22" s="15"/>
      <c r="H22" s="15"/>
    </row>
    <row r="23" spans="1:8" x14ac:dyDescent="0.25">
      <c r="G23" s="15" t="s">
        <v>91</v>
      </c>
      <c r="H23" s="16">
        <f>SUM(H11:H20)</f>
        <v>0</v>
      </c>
    </row>
    <row r="24" spans="1:8" x14ac:dyDescent="0.25">
      <c r="G24" s="15" t="s">
        <v>92</v>
      </c>
      <c r="H24" s="16">
        <f>SUM(H23*20/100)</f>
        <v>0</v>
      </c>
    </row>
    <row r="25" spans="1:8" x14ac:dyDescent="0.25">
      <c r="G25" s="15" t="s">
        <v>46</v>
      </c>
      <c r="H25" s="16">
        <f>SUM(H23:H24)</f>
        <v>0</v>
      </c>
    </row>
    <row r="26" spans="1:8" x14ac:dyDescent="0.25">
      <c r="G26" s="15" t="s">
        <v>47</v>
      </c>
      <c r="H26" s="15"/>
    </row>
    <row r="27" spans="1:8" x14ac:dyDescent="0.25">
      <c r="G27" s="15" t="s">
        <v>29</v>
      </c>
      <c r="H27" s="16">
        <f>SUM(H25*100/30)</f>
        <v>0</v>
      </c>
    </row>
    <row r="28" spans="1:8" x14ac:dyDescent="0.25">
      <c r="G28" s="15"/>
      <c r="H28" s="15"/>
    </row>
    <row r="47" spans="1:8" x14ac:dyDescent="0.25">
      <c r="A47" s="1" t="s">
        <v>0</v>
      </c>
      <c r="B47" s="1"/>
      <c r="C47" s="1"/>
      <c r="D47" s="1"/>
      <c r="E47" s="1"/>
      <c r="F47" s="1"/>
      <c r="G47" s="1"/>
      <c r="H47" s="1"/>
    </row>
    <row r="49" spans="1:8" x14ac:dyDescent="0.25">
      <c r="A49" s="2" t="s">
        <v>1</v>
      </c>
      <c r="B49" s="2" t="s">
        <v>93</v>
      </c>
      <c r="C49" s="2"/>
      <c r="D49" s="2"/>
      <c r="E49" s="2"/>
      <c r="F49" s="2" t="s">
        <v>94</v>
      </c>
      <c r="G49" s="2"/>
      <c r="H49" s="2"/>
    </row>
    <row r="50" spans="1:8" x14ac:dyDescent="0.25">
      <c r="A50" s="2" t="s">
        <v>3</v>
      </c>
      <c r="B50" s="2" t="s">
        <v>4</v>
      </c>
      <c r="C50" s="2"/>
      <c r="D50" s="2"/>
      <c r="E50" s="2"/>
      <c r="F50" s="2"/>
      <c r="G50" s="2"/>
      <c r="H50" s="2"/>
    </row>
    <row r="51" spans="1:8" x14ac:dyDescent="0.25">
      <c r="A51" s="2" t="s">
        <v>5</v>
      </c>
      <c r="B51" s="2" t="s">
        <v>21</v>
      </c>
      <c r="C51" s="2"/>
      <c r="D51" s="2"/>
      <c r="E51" s="2"/>
      <c r="F51" s="2"/>
      <c r="G51" s="2"/>
      <c r="H51" s="2"/>
    </row>
    <row r="52" spans="1:8" x14ac:dyDescent="0.25">
      <c r="A52" s="2" t="s">
        <v>7</v>
      </c>
      <c r="B52" s="2">
        <v>10</v>
      </c>
      <c r="C52" s="2"/>
      <c r="D52" s="2"/>
      <c r="E52" s="2"/>
      <c r="F52" s="2"/>
      <c r="G52" s="2"/>
      <c r="H52" s="2"/>
    </row>
    <row r="53" spans="1:8" x14ac:dyDescent="0.25">
      <c r="A53" s="2"/>
      <c r="B53" s="2"/>
      <c r="C53" s="2"/>
      <c r="D53" s="2"/>
      <c r="E53" s="2"/>
      <c r="F53" s="2"/>
      <c r="G53" s="2"/>
      <c r="H53" s="2"/>
    </row>
    <row r="54" spans="1:8" x14ac:dyDescent="0.25">
      <c r="A54" s="3" t="s">
        <v>9</v>
      </c>
      <c r="B54" s="4" t="s">
        <v>10</v>
      </c>
      <c r="C54" s="5"/>
      <c r="D54" s="6"/>
      <c r="E54" s="4" t="s">
        <v>11</v>
      </c>
      <c r="F54" s="6"/>
      <c r="G54" s="7" t="s">
        <v>12</v>
      </c>
      <c r="H54" s="8" t="s">
        <v>13</v>
      </c>
    </row>
    <row r="55" spans="1:8" ht="30" x14ac:dyDescent="0.25">
      <c r="A55" s="9"/>
      <c r="B55" s="10" t="s">
        <v>14</v>
      </c>
      <c r="C55" s="11" t="s">
        <v>15</v>
      </c>
      <c r="D55" s="11" t="s">
        <v>16</v>
      </c>
      <c r="E55" s="11" t="s">
        <v>15</v>
      </c>
      <c r="F55" s="11" t="s">
        <v>17</v>
      </c>
      <c r="G55" s="12" t="s">
        <v>18</v>
      </c>
      <c r="H55" s="13" t="s">
        <v>19</v>
      </c>
    </row>
    <row r="56" spans="1:8" x14ac:dyDescent="0.25">
      <c r="A56" s="14" t="s">
        <v>32</v>
      </c>
      <c r="B56" s="17">
        <v>1000</v>
      </c>
      <c r="C56" s="17" t="s">
        <v>24</v>
      </c>
      <c r="D56" s="17"/>
      <c r="E56" s="17" t="s">
        <v>24</v>
      </c>
      <c r="F56" s="17">
        <v>1000</v>
      </c>
      <c r="G56" s="16">
        <f>SUM(D56/B56)</f>
        <v>0</v>
      </c>
      <c r="H56" s="16">
        <f>SUM(G56*F56)</f>
        <v>0</v>
      </c>
    </row>
    <row r="57" spans="1:8" x14ac:dyDescent="0.25">
      <c r="A57" s="14" t="s">
        <v>95</v>
      </c>
      <c r="B57" s="17">
        <v>1000</v>
      </c>
      <c r="C57" s="17" t="s">
        <v>24</v>
      </c>
      <c r="D57" s="17"/>
      <c r="E57" s="17" t="s">
        <v>24</v>
      </c>
      <c r="F57" s="17">
        <v>100</v>
      </c>
      <c r="G57" s="16">
        <f t="shared" ref="G57:G65" si="2">SUM(D57/B57)</f>
        <v>0</v>
      </c>
      <c r="H57" s="16">
        <f t="shared" ref="H57:H65" si="3">SUM(G57*F57)</f>
        <v>0</v>
      </c>
    </row>
    <row r="58" spans="1:8" x14ac:dyDescent="0.25">
      <c r="A58" s="14" t="s">
        <v>37</v>
      </c>
      <c r="B58" s="17">
        <v>600</v>
      </c>
      <c r="C58" s="17" t="s">
        <v>38</v>
      </c>
      <c r="D58" s="17"/>
      <c r="E58" s="17" t="s">
        <v>38</v>
      </c>
      <c r="F58" s="17">
        <v>200</v>
      </c>
      <c r="G58" s="16">
        <f t="shared" si="2"/>
        <v>0</v>
      </c>
      <c r="H58" s="16">
        <f t="shared" si="3"/>
        <v>0</v>
      </c>
    </row>
    <row r="59" spans="1:8" x14ac:dyDescent="0.25">
      <c r="A59" s="14" t="s">
        <v>79</v>
      </c>
      <c r="B59" s="17">
        <v>1000</v>
      </c>
      <c r="C59" s="17" t="s">
        <v>24</v>
      </c>
      <c r="D59" s="17"/>
      <c r="E59" s="17" t="s">
        <v>24</v>
      </c>
      <c r="F59" s="17">
        <v>80</v>
      </c>
      <c r="G59" s="16">
        <f t="shared" si="2"/>
        <v>0</v>
      </c>
      <c r="H59" s="16">
        <f t="shared" si="3"/>
        <v>0</v>
      </c>
    </row>
    <row r="60" spans="1:8" x14ac:dyDescent="0.25">
      <c r="A60" s="14" t="s">
        <v>96</v>
      </c>
      <c r="B60" s="17">
        <v>1000</v>
      </c>
      <c r="C60" s="17" t="s">
        <v>24</v>
      </c>
      <c r="D60" s="17"/>
      <c r="E60" s="17" t="s">
        <v>24</v>
      </c>
      <c r="F60" s="17">
        <v>80</v>
      </c>
      <c r="G60" s="16">
        <f t="shared" si="2"/>
        <v>0</v>
      </c>
      <c r="H60" s="16">
        <f t="shared" si="3"/>
        <v>0</v>
      </c>
    </row>
    <row r="61" spans="1:8" x14ac:dyDescent="0.25">
      <c r="A61" s="14" t="s">
        <v>44</v>
      </c>
      <c r="B61" s="17">
        <v>1000</v>
      </c>
      <c r="C61" s="17" t="s">
        <v>24</v>
      </c>
      <c r="D61" s="17"/>
      <c r="E61" s="17" t="s">
        <v>24</v>
      </c>
      <c r="F61" s="17">
        <v>60</v>
      </c>
      <c r="G61" s="16">
        <f t="shared" si="2"/>
        <v>0</v>
      </c>
      <c r="H61" s="16">
        <f t="shared" si="3"/>
        <v>0</v>
      </c>
    </row>
    <row r="62" spans="1:8" x14ac:dyDescent="0.25">
      <c r="A62" s="14" t="s">
        <v>39</v>
      </c>
      <c r="B62" s="17">
        <v>1000</v>
      </c>
      <c r="C62" s="17" t="s">
        <v>24</v>
      </c>
      <c r="D62" s="17"/>
      <c r="E62" s="17" t="s">
        <v>24</v>
      </c>
      <c r="F62" s="17">
        <v>10</v>
      </c>
      <c r="G62" s="16">
        <f t="shared" si="2"/>
        <v>0</v>
      </c>
      <c r="H62" s="16">
        <f t="shared" si="3"/>
        <v>0</v>
      </c>
    </row>
    <row r="63" spans="1:8" x14ac:dyDescent="0.25">
      <c r="A63" s="14" t="s">
        <v>40</v>
      </c>
      <c r="B63" s="17">
        <v>1000</v>
      </c>
      <c r="C63" s="17" t="s">
        <v>24</v>
      </c>
      <c r="D63" s="17"/>
      <c r="E63" s="17" t="s">
        <v>24</v>
      </c>
      <c r="F63" s="17">
        <v>5</v>
      </c>
      <c r="G63" s="16">
        <f t="shared" si="2"/>
        <v>0</v>
      </c>
      <c r="H63" s="16">
        <f t="shared" si="3"/>
        <v>0</v>
      </c>
    </row>
    <row r="64" spans="1:8" x14ac:dyDescent="0.25">
      <c r="A64" s="14" t="s">
        <v>34</v>
      </c>
      <c r="B64" s="17">
        <v>1</v>
      </c>
      <c r="C64" s="17" t="s">
        <v>36</v>
      </c>
      <c r="D64" s="17"/>
      <c r="E64" s="17" t="s">
        <v>36</v>
      </c>
      <c r="F64" s="17">
        <v>5</v>
      </c>
      <c r="G64" s="16">
        <f t="shared" si="2"/>
        <v>0</v>
      </c>
      <c r="H64" s="16">
        <f t="shared" si="3"/>
        <v>0</v>
      </c>
    </row>
    <row r="65" spans="1:8" x14ac:dyDescent="0.25">
      <c r="A65" s="14" t="s">
        <v>43</v>
      </c>
      <c r="B65" s="17">
        <v>1000</v>
      </c>
      <c r="C65" s="17" t="s">
        <v>38</v>
      </c>
      <c r="D65" s="17"/>
      <c r="E65" s="17" t="s">
        <v>38</v>
      </c>
      <c r="F65" s="17">
        <v>100</v>
      </c>
      <c r="G65" s="16">
        <f t="shared" si="2"/>
        <v>0</v>
      </c>
      <c r="H65" s="16">
        <f t="shared" si="3"/>
        <v>0</v>
      </c>
    </row>
    <row r="66" spans="1:8" x14ac:dyDescent="0.25">
      <c r="A66" s="15"/>
      <c r="B66" s="15"/>
      <c r="C66" s="15"/>
      <c r="D66" s="15"/>
      <c r="E66" s="15"/>
      <c r="F66" s="15"/>
      <c r="G66" s="15"/>
      <c r="H66" s="15"/>
    </row>
    <row r="67" spans="1:8" x14ac:dyDescent="0.25">
      <c r="A67" s="15"/>
      <c r="B67" s="15"/>
      <c r="C67" s="15"/>
      <c r="D67" s="15"/>
      <c r="E67" s="15"/>
      <c r="F67" s="15"/>
      <c r="G67" s="15"/>
      <c r="H67" s="15"/>
    </row>
  </sheetData>
  <mergeCells count="8">
    <mergeCell ref="A1:H1"/>
    <mergeCell ref="A8:A9"/>
    <mergeCell ref="B8:D8"/>
    <mergeCell ref="E8:F8"/>
    <mergeCell ref="A47:H47"/>
    <mergeCell ref="A54:A55"/>
    <mergeCell ref="B54:D54"/>
    <mergeCell ref="E54:F54"/>
  </mergeCells>
  <pageMargins left="0.25" right="0.25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nasiputih</vt:lpstr>
      <vt:lpstr>nasigorengsosis</vt:lpstr>
      <vt:lpstr>nasigorengmerah</vt:lpstr>
      <vt:lpstr>nasigorengseafood</vt:lpstr>
      <vt:lpstr>nasi goreng XO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2025-01-02T03:16:11Z</cp:lastPrinted>
  <dcterms:created xsi:type="dcterms:W3CDTF">2024-09-02T01:54:50Z</dcterms:created>
  <dcterms:modified xsi:type="dcterms:W3CDTF">2025-01-02T04:09:57Z</dcterms:modified>
</cp:coreProperties>
</file>