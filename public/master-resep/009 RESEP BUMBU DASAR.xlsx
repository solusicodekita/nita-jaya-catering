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 KERJA NITA JAYA\FILE RESEP INDUK NITA JAYA CATERING SERVICE\RESEP INDUK\"/>
    </mc:Choice>
  </mc:AlternateContent>
  <xr:revisionPtr revIDLastSave="0" documentId="13_ncr:1_{6C258061-4ACF-4854-88CF-48E9BD68AF91}" xr6:coauthVersionLast="47" xr6:coauthVersionMax="47" xr10:uidLastSave="{00000000-0000-0000-0000-000000000000}"/>
  <bookViews>
    <workbookView xWindow="-120" yWindow="-120" windowWidth="20730" windowHeight="11160" xr2:uid="{A9A96C23-8F3E-421C-AD90-821A973EA35A}"/>
  </bookViews>
  <sheets>
    <sheet name="BUMBUMISUUN" sheetId="3" r:id="rId1"/>
    <sheet name="BUMBUNASGORXO" sheetId="1" r:id="rId2"/>
    <sheet name="BUMBUOSENG" sheetId="2" r:id="rId3"/>
    <sheet name="BUMBUMERAH" sheetId="4" r:id="rId4"/>
    <sheet name="BUMBURAWON" sheetId="5" r:id="rId5"/>
    <sheet name="BUMBUSOTO" sheetId="6" r:id="rId6"/>
    <sheet name="SAMBELNITAJAYA" sheetId="7" r:id="rId7"/>
    <sheet name="BUMBUKERINGTEMPE" sheetId="8" r:id="rId8"/>
    <sheet name="Sheet10" sheetId="10" r:id="rId9"/>
    <sheet name="Sheet9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2" i="2" l="1"/>
  <c r="H19" i="2"/>
  <c r="H18" i="2"/>
  <c r="H20" i="2" s="1"/>
  <c r="H13" i="2"/>
  <c r="H14" i="2"/>
  <c r="H15" i="2"/>
  <c r="G13" i="2"/>
  <c r="G14" i="2"/>
  <c r="G15" i="2"/>
  <c r="H11" i="2"/>
  <c r="G11" i="2"/>
  <c r="H24" i="1"/>
  <c r="H22" i="1"/>
  <c r="H21" i="1"/>
  <c r="H20" i="1"/>
</calcChain>
</file>

<file path=xl/sharedStrings.xml><?xml version="1.0" encoding="utf-8"?>
<sst xmlns="http://schemas.openxmlformats.org/spreadsheetml/2006/main" count="213" uniqueCount="59">
  <si>
    <t>NITA JAYA CATERING SERVICE</t>
  </si>
  <si>
    <t>Recipe number          :</t>
  </si>
  <si>
    <t>Property                       :</t>
  </si>
  <si>
    <t>Nita Jaya Catering Service</t>
  </si>
  <si>
    <t>Category                       :</t>
  </si>
  <si>
    <t>Yield                               :</t>
  </si>
  <si>
    <t>Ingredients</t>
  </si>
  <si>
    <t>Convertion</t>
  </si>
  <si>
    <t>Used</t>
  </si>
  <si>
    <t>Price Unit</t>
  </si>
  <si>
    <t xml:space="preserve">Total </t>
  </si>
  <si>
    <t>Pack Store</t>
  </si>
  <si>
    <t>Unit</t>
  </si>
  <si>
    <t>Price</t>
  </si>
  <si>
    <t>Qty</t>
  </si>
  <si>
    <t>used in gr</t>
  </si>
  <si>
    <t>Cost</t>
  </si>
  <si>
    <t>cabe merah bear</t>
  </si>
  <si>
    <t>kilos</t>
  </si>
  <si>
    <t>gr</t>
  </si>
  <si>
    <t>cabemerah kecil</t>
  </si>
  <si>
    <t>scalop (simping)</t>
  </si>
  <si>
    <t>kg</t>
  </si>
  <si>
    <t>ebi</t>
  </si>
  <si>
    <t>garlic</t>
  </si>
  <si>
    <t>oil cooking</t>
  </si>
  <si>
    <t>ml</t>
  </si>
  <si>
    <t>001/bumdasar/NT/2024</t>
  </si>
  <si>
    <t>shalot</t>
  </si>
  <si>
    <t>red chili small</t>
  </si>
  <si>
    <t>salam leaves</t>
  </si>
  <si>
    <t>pcs</t>
  </si>
  <si>
    <t>cooking oil</t>
  </si>
  <si>
    <t>total cost 1</t>
  </si>
  <si>
    <t xml:space="preserve">cost  factor 20 % </t>
  </si>
  <si>
    <t>total cost 2</t>
  </si>
  <si>
    <t>cost profit</t>
  </si>
  <si>
    <t>price selling</t>
  </si>
  <si>
    <t>Nama  : Bumbu oseng</t>
  </si>
  <si>
    <t>bumbu</t>
  </si>
  <si>
    <t>cost vactor 20%</t>
  </si>
  <si>
    <t xml:space="preserve">total cost 2 </t>
  </si>
  <si>
    <t>cost selling 30%</t>
  </si>
  <si>
    <t>method;</t>
  </si>
  <si>
    <t xml:space="preserve"> gr</t>
  </si>
  <si>
    <t>002/bumdasar/NT/2024</t>
  </si>
  <si>
    <t>004/bumdasar/NT/2024</t>
  </si>
  <si>
    <t>005/bumdasar/NT/2024</t>
  </si>
  <si>
    <t>006/bumdasar/NT/2024</t>
  </si>
  <si>
    <t>008/bumdasar/NT/2024</t>
  </si>
  <si>
    <t>007/bumdasar/NT/2024</t>
  </si>
  <si>
    <t>bumbu dasar</t>
  </si>
  <si>
    <t>Nama  : sambel nita jaya</t>
  </si>
  <si>
    <t>Nama  : bumbu kering tempe</t>
  </si>
  <si>
    <t>Nama  : Bumb soto</t>
  </si>
  <si>
    <t>Nama  : Bumbu Rawon</t>
  </si>
  <si>
    <t>Nama  : Bumbu merah</t>
  </si>
  <si>
    <t>Nama  : Bumbu Nasi Goreng XO</t>
  </si>
  <si>
    <t>Nama  : Bumbu MI suun rrt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</si>
</sst>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/>
    <xf numFmtId="0" fontId="1" fillId="0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9" fontId="0" fillId="0" borderId="6" xfId="0" applyNumberFormat="1" applyBorder="1"/>
    <xf numFmtId="42" fontId="0" fillId="0" borderId="6" xfId="0" applyNumberForma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49825-66DB-4C28-B619-50B584DE6ABA}">
  <dimension ref="A2:H10"/>
  <sheetViews>
    <sheetView tabSelected="1" workbookViewId="0">
      <selection activeCell="A3" sqref="A3"/>
    </sheetView>
  </sheetViews>
  <sheetFormatPr defaultRowHeight="15" x14ac:dyDescent="0.25"/>
  <cols>
    <col min="1" max="1" width="18" customWidth="1"/>
  </cols>
  <sheetData>
    <row r="2" spans="1:8" x14ac:dyDescent="0.25">
      <c r="A2" s="15" t="s">
        <v>0</v>
      </c>
      <c r="B2" s="15"/>
      <c r="C2" s="15"/>
      <c r="D2" s="15"/>
      <c r="E2" s="15"/>
      <c r="F2" s="15"/>
      <c r="G2" s="15"/>
      <c r="H2" s="15"/>
    </row>
    <row r="4" spans="1:8" x14ac:dyDescent="0.25">
      <c r="A4" s="1" t="s">
        <v>1</v>
      </c>
      <c r="B4" s="1" t="s">
        <v>27</v>
      </c>
      <c r="C4" s="1"/>
      <c r="D4" s="1"/>
      <c r="E4" s="1"/>
      <c r="F4" s="1" t="s">
        <v>58</v>
      </c>
      <c r="G4" s="1"/>
      <c r="H4" s="1"/>
    </row>
    <row r="5" spans="1:8" x14ac:dyDescent="0.25">
      <c r="A5" s="1" t="s">
        <v>2</v>
      </c>
      <c r="B5" s="1" t="s">
        <v>3</v>
      </c>
      <c r="C5" s="1"/>
      <c r="D5" s="1"/>
      <c r="E5" s="1"/>
      <c r="F5" s="1"/>
      <c r="G5" s="1"/>
      <c r="H5" s="1"/>
    </row>
    <row r="6" spans="1:8" x14ac:dyDescent="0.25">
      <c r="A6" s="1" t="s">
        <v>4</v>
      </c>
      <c r="B6" s="1" t="s">
        <v>51</v>
      </c>
      <c r="C6" s="1"/>
      <c r="D6" s="1"/>
      <c r="E6" s="1"/>
      <c r="F6" s="1"/>
      <c r="G6" s="1"/>
      <c r="H6" s="1"/>
    </row>
    <row r="7" spans="1:8" x14ac:dyDescent="0.25">
      <c r="A7" s="1" t="s">
        <v>5</v>
      </c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ht="30" x14ac:dyDescent="0.25">
      <c r="A9" s="16" t="s">
        <v>6</v>
      </c>
      <c r="B9" s="18" t="s">
        <v>7</v>
      </c>
      <c r="C9" s="19"/>
      <c r="D9" s="20"/>
      <c r="E9" s="18" t="s">
        <v>8</v>
      </c>
      <c r="F9" s="20"/>
      <c r="G9" s="2" t="s">
        <v>9</v>
      </c>
      <c r="H9" s="3" t="s">
        <v>10</v>
      </c>
    </row>
    <row r="10" spans="1:8" ht="30" x14ac:dyDescent="0.25">
      <c r="A10" s="17"/>
      <c r="B10" s="4" t="s">
        <v>11</v>
      </c>
      <c r="C10" s="5" t="s">
        <v>12</v>
      </c>
      <c r="D10" s="5" t="s">
        <v>13</v>
      </c>
      <c r="E10" s="5" t="s">
        <v>12</v>
      </c>
      <c r="F10" s="5" t="s">
        <v>14</v>
      </c>
      <c r="G10" s="6" t="s">
        <v>15</v>
      </c>
      <c r="H10" s="7" t="s">
        <v>16</v>
      </c>
    </row>
  </sheetData>
  <mergeCells count="4">
    <mergeCell ref="A2:H2"/>
    <mergeCell ref="A9:A10"/>
    <mergeCell ref="B9:D9"/>
    <mergeCell ref="E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B8BD-E08B-4159-AB15-A0D50C5A0564}">
  <dimension ref="A2:H25"/>
  <sheetViews>
    <sheetView workbookViewId="0">
      <selection activeCell="B6" sqref="B6"/>
    </sheetView>
  </sheetViews>
  <sheetFormatPr defaultRowHeight="15" x14ac:dyDescent="0.25"/>
  <cols>
    <col min="1" max="1" width="17.7109375" customWidth="1"/>
    <col min="2" max="2" width="7.42578125" customWidth="1"/>
    <col min="7" max="7" width="15.140625" customWidth="1"/>
    <col min="8" max="8" width="18.42578125" customWidth="1"/>
  </cols>
  <sheetData>
    <row r="2" spans="1:8" x14ac:dyDescent="0.25">
      <c r="A2" s="15" t="s">
        <v>0</v>
      </c>
      <c r="B2" s="15"/>
      <c r="C2" s="15"/>
      <c r="D2" s="15"/>
      <c r="E2" s="15"/>
      <c r="F2" s="15"/>
      <c r="G2" s="15"/>
      <c r="H2" s="15"/>
    </row>
    <row r="4" spans="1:8" x14ac:dyDescent="0.25">
      <c r="A4" s="1" t="s">
        <v>1</v>
      </c>
      <c r="B4" s="1" t="s">
        <v>27</v>
      </c>
      <c r="C4" s="1"/>
      <c r="D4" s="1"/>
      <c r="E4" s="1"/>
      <c r="F4" s="1" t="s">
        <v>57</v>
      </c>
      <c r="G4" s="1"/>
      <c r="H4" s="1"/>
    </row>
    <row r="5" spans="1:8" x14ac:dyDescent="0.25">
      <c r="A5" s="1" t="s">
        <v>2</v>
      </c>
      <c r="B5" s="1" t="s">
        <v>3</v>
      </c>
      <c r="C5" s="1"/>
      <c r="D5" s="1"/>
      <c r="E5" s="1"/>
      <c r="F5" s="1"/>
      <c r="G5" s="1"/>
      <c r="H5" s="1"/>
    </row>
    <row r="6" spans="1:8" x14ac:dyDescent="0.25">
      <c r="A6" s="1" t="s">
        <v>4</v>
      </c>
      <c r="B6" s="1" t="s">
        <v>51</v>
      </c>
      <c r="C6" s="1"/>
      <c r="D6" s="1"/>
      <c r="E6" s="1"/>
      <c r="F6" s="1"/>
      <c r="G6" s="1"/>
      <c r="H6" s="1"/>
    </row>
    <row r="7" spans="1:8" x14ac:dyDescent="0.25">
      <c r="A7" s="1" t="s">
        <v>5</v>
      </c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6" t="s">
        <v>6</v>
      </c>
      <c r="B9" s="18" t="s">
        <v>7</v>
      </c>
      <c r="C9" s="19"/>
      <c r="D9" s="20"/>
      <c r="E9" s="18" t="s">
        <v>8</v>
      </c>
      <c r="F9" s="20"/>
      <c r="G9" s="2" t="s">
        <v>9</v>
      </c>
      <c r="H9" s="3" t="s">
        <v>10</v>
      </c>
    </row>
    <row r="10" spans="1:8" ht="30" x14ac:dyDescent="0.25">
      <c r="A10" s="17"/>
      <c r="B10" s="4" t="s">
        <v>11</v>
      </c>
      <c r="C10" s="5" t="s">
        <v>12</v>
      </c>
      <c r="D10" s="5" t="s">
        <v>13</v>
      </c>
      <c r="E10" s="5" t="s">
        <v>12</v>
      </c>
      <c r="F10" s="5" t="s">
        <v>14</v>
      </c>
      <c r="G10" s="6" t="s">
        <v>15</v>
      </c>
      <c r="H10" s="7" t="s">
        <v>16</v>
      </c>
    </row>
    <row r="11" spans="1:8" x14ac:dyDescent="0.25">
      <c r="A11" s="8" t="s">
        <v>17</v>
      </c>
      <c r="B11" s="9">
        <v>1000</v>
      </c>
      <c r="C11" s="10" t="s">
        <v>19</v>
      </c>
      <c r="D11" s="11"/>
      <c r="E11" s="12" t="s">
        <v>19</v>
      </c>
      <c r="F11" s="11"/>
      <c r="G11" s="11"/>
      <c r="H11" s="11"/>
    </row>
    <row r="12" spans="1:8" x14ac:dyDescent="0.25">
      <c r="A12" s="8" t="s">
        <v>20</v>
      </c>
      <c r="B12" s="9">
        <v>1000</v>
      </c>
      <c r="C12" s="10" t="s">
        <v>19</v>
      </c>
      <c r="D12" s="11"/>
      <c r="E12" s="12" t="s">
        <v>19</v>
      </c>
      <c r="F12" s="11"/>
      <c r="G12" s="11"/>
      <c r="H12" s="11"/>
    </row>
    <row r="13" spans="1:8" x14ac:dyDescent="0.25">
      <c r="A13" s="8" t="s">
        <v>21</v>
      </c>
      <c r="B13" s="9">
        <v>1000</v>
      </c>
      <c r="C13" s="10" t="s">
        <v>19</v>
      </c>
      <c r="D13" s="11"/>
      <c r="E13" s="12" t="s">
        <v>19</v>
      </c>
      <c r="F13" s="11"/>
      <c r="G13" s="11"/>
      <c r="H13" s="11"/>
    </row>
    <row r="14" spans="1:8" x14ac:dyDescent="0.25">
      <c r="A14" s="8" t="s">
        <v>23</v>
      </c>
      <c r="B14" s="9">
        <v>1000</v>
      </c>
      <c r="C14" s="10" t="s">
        <v>44</v>
      </c>
      <c r="D14" s="11"/>
      <c r="E14" s="12" t="s">
        <v>19</v>
      </c>
      <c r="F14" s="11"/>
      <c r="G14" s="11"/>
      <c r="H14" s="11"/>
    </row>
    <row r="15" spans="1:8" x14ac:dyDescent="0.25">
      <c r="A15" s="8" t="s">
        <v>24</v>
      </c>
      <c r="B15" s="9">
        <v>1000</v>
      </c>
      <c r="C15" s="10" t="s">
        <v>19</v>
      </c>
      <c r="D15" s="11"/>
      <c r="E15" s="12" t="s">
        <v>19</v>
      </c>
      <c r="F15" s="11"/>
      <c r="G15" s="11"/>
      <c r="H15" s="11"/>
    </row>
    <row r="16" spans="1:8" x14ac:dyDescent="0.25">
      <c r="A16" s="8" t="s">
        <v>25</v>
      </c>
      <c r="B16" s="9">
        <v>1000</v>
      </c>
      <c r="C16" s="10" t="s">
        <v>26</v>
      </c>
      <c r="D16" s="11"/>
      <c r="E16" s="12" t="s">
        <v>26</v>
      </c>
      <c r="F16" s="11"/>
      <c r="G16" s="11"/>
      <c r="H16" s="11"/>
    </row>
    <row r="17" spans="1:8" x14ac:dyDescent="0.25">
      <c r="A17" s="11"/>
      <c r="B17" s="10"/>
      <c r="C17" s="10"/>
      <c r="D17" s="11"/>
      <c r="E17" s="12"/>
      <c r="F17" s="11"/>
      <c r="G17" s="11"/>
      <c r="H17" s="11"/>
    </row>
    <row r="18" spans="1:8" x14ac:dyDescent="0.25">
      <c r="A18" s="11"/>
      <c r="B18" s="11"/>
      <c r="C18" s="11"/>
      <c r="D18" s="11"/>
      <c r="E18" s="12"/>
      <c r="F18" s="11"/>
      <c r="G18" s="11"/>
      <c r="H18" s="11"/>
    </row>
    <row r="19" spans="1:8" x14ac:dyDescent="0.25">
      <c r="A19" s="11"/>
      <c r="B19" s="11"/>
      <c r="C19" s="11"/>
      <c r="D19" s="11"/>
      <c r="E19" s="11"/>
      <c r="F19" s="11"/>
      <c r="G19" s="11"/>
      <c r="H19" s="11"/>
    </row>
    <row r="20" spans="1:8" x14ac:dyDescent="0.25">
      <c r="G20" s="11" t="s">
        <v>33</v>
      </c>
      <c r="H20" s="11">
        <f>SUM(H11:H19)</f>
        <v>0</v>
      </c>
    </row>
    <row r="21" spans="1:8" x14ac:dyDescent="0.25">
      <c r="G21" s="11" t="s">
        <v>34</v>
      </c>
      <c r="H21" s="11">
        <f>SUM(H20*20/100)</f>
        <v>0</v>
      </c>
    </row>
    <row r="22" spans="1:8" x14ac:dyDescent="0.25">
      <c r="G22" s="11" t="s">
        <v>35</v>
      </c>
      <c r="H22" s="11">
        <f>SUM(H20:H21)</f>
        <v>0</v>
      </c>
    </row>
    <row r="23" spans="1:8" x14ac:dyDescent="0.25">
      <c r="G23" s="11" t="s">
        <v>36</v>
      </c>
      <c r="H23" s="13">
        <v>0.3</v>
      </c>
    </row>
    <row r="24" spans="1:8" x14ac:dyDescent="0.25">
      <c r="G24" s="11" t="s">
        <v>37</v>
      </c>
      <c r="H24" s="11">
        <f>SUM(H22*100/30)</f>
        <v>0</v>
      </c>
    </row>
    <row r="25" spans="1:8" x14ac:dyDescent="0.25">
      <c r="G25" s="11"/>
      <c r="H25" s="11"/>
    </row>
  </sheetData>
  <mergeCells count="4">
    <mergeCell ref="A2:H2"/>
    <mergeCell ref="A9:A10"/>
    <mergeCell ref="B9:D9"/>
    <mergeCell ref="E9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F5550-F2F8-422B-89B9-FB58F46940CA}">
  <dimension ref="A2:H24"/>
  <sheetViews>
    <sheetView workbookViewId="0">
      <selection activeCell="B4" sqref="B4"/>
    </sheetView>
  </sheetViews>
  <sheetFormatPr defaultRowHeight="15" x14ac:dyDescent="0.25"/>
  <cols>
    <col min="1" max="1" width="18.5703125" customWidth="1"/>
    <col min="2" max="2" width="7.85546875" customWidth="1"/>
    <col min="3" max="3" width="5.5703125" customWidth="1"/>
    <col min="5" max="5" width="7.28515625" customWidth="1"/>
    <col min="6" max="6" width="8.140625" customWidth="1"/>
    <col min="7" max="7" width="17.42578125" customWidth="1"/>
    <col min="8" max="8" width="17.140625" customWidth="1"/>
  </cols>
  <sheetData>
    <row r="2" spans="1:8" x14ac:dyDescent="0.25">
      <c r="A2" s="15" t="s">
        <v>0</v>
      </c>
      <c r="B2" s="15"/>
      <c r="C2" s="15"/>
      <c r="D2" s="15"/>
      <c r="E2" s="15"/>
      <c r="F2" s="15"/>
      <c r="G2" s="15"/>
      <c r="H2" s="15"/>
    </row>
    <row r="4" spans="1:8" x14ac:dyDescent="0.25">
      <c r="A4" s="1" t="s">
        <v>1</v>
      </c>
      <c r="B4" s="1" t="s">
        <v>45</v>
      </c>
      <c r="C4" s="1"/>
      <c r="D4" s="1"/>
      <c r="E4" s="1"/>
      <c r="F4" s="1" t="s">
        <v>38</v>
      </c>
      <c r="G4" s="1"/>
      <c r="H4" s="1"/>
    </row>
    <row r="5" spans="1:8" x14ac:dyDescent="0.25">
      <c r="A5" s="1" t="s">
        <v>2</v>
      </c>
      <c r="B5" s="1" t="s">
        <v>3</v>
      </c>
      <c r="C5" s="1"/>
      <c r="D5" s="1"/>
      <c r="E5" s="1"/>
      <c r="F5" s="1"/>
      <c r="G5" s="1"/>
      <c r="H5" s="1"/>
    </row>
    <row r="6" spans="1:8" x14ac:dyDescent="0.25">
      <c r="A6" s="1" t="s">
        <v>4</v>
      </c>
      <c r="B6" s="1" t="s">
        <v>39</v>
      </c>
      <c r="C6" s="1"/>
      <c r="D6" s="1"/>
      <c r="E6" s="1"/>
      <c r="F6" s="1"/>
      <c r="G6" s="1"/>
      <c r="H6" s="1"/>
    </row>
    <row r="7" spans="1:8" x14ac:dyDescent="0.25">
      <c r="A7" s="1" t="s">
        <v>5</v>
      </c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6" t="s">
        <v>6</v>
      </c>
      <c r="B9" s="18" t="s">
        <v>7</v>
      </c>
      <c r="C9" s="19"/>
      <c r="D9" s="20"/>
      <c r="E9" s="18" t="s">
        <v>8</v>
      </c>
      <c r="F9" s="20"/>
      <c r="G9" s="2" t="s">
        <v>9</v>
      </c>
      <c r="H9" s="3" t="s">
        <v>10</v>
      </c>
    </row>
    <row r="10" spans="1:8" ht="30" x14ac:dyDescent="0.25">
      <c r="A10" s="17"/>
      <c r="B10" s="4" t="s">
        <v>11</v>
      </c>
      <c r="C10" s="5" t="s">
        <v>12</v>
      </c>
      <c r="D10" s="5" t="s">
        <v>13</v>
      </c>
      <c r="E10" s="5" t="s">
        <v>12</v>
      </c>
      <c r="F10" s="5" t="s">
        <v>14</v>
      </c>
      <c r="G10" s="6" t="s">
        <v>15</v>
      </c>
      <c r="H10" s="7" t="s">
        <v>16</v>
      </c>
    </row>
    <row r="11" spans="1:8" x14ac:dyDescent="0.25">
      <c r="A11" s="8" t="s">
        <v>24</v>
      </c>
      <c r="B11" s="12">
        <v>1000</v>
      </c>
      <c r="C11" s="12" t="s">
        <v>19</v>
      </c>
      <c r="D11" s="11"/>
      <c r="E11" s="12" t="s">
        <v>19</v>
      </c>
      <c r="F11" s="12">
        <v>1000</v>
      </c>
      <c r="G11" s="14">
        <f>SUM(D11/B11)</f>
        <v>0</v>
      </c>
      <c r="H11" s="14">
        <f>SUM(G11*F11)</f>
        <v>0</v>
      </c>
    </row>
    <row r="12" spans="1:8" x14ac:dyDescent="0.25">
      <c r="A12" s="8" t="s">
        <v>28</v>
      </c>
      <c r="B12" s="12" t="s">
        <v>18</v>
      </c>
      <c r="C12" s="12" t="s">
        <v>22</v>
      </c>
      <c r="D12" s="11"/>
      <c r="E12" s="12" t="s">
        <v>19</v>
      </c>
      <c r="F12" s="12"/>
      <c r="G12" s="14"/>
      <c r="H12" s="14"/>
    </row>
    <row r="13" spans="1:8" x14ac:dyDescent="0.25">
      <c r="A13" s="8" t="s">
        <v>29</v>
      </c>
      <c r="B13" s="12">
        <v>1000</v>
      </c>
      <c r="C13" s="12" t="s">
        <v>19</v>
      </c>
      <c r="D13" s="11"/>
      <c r="E13" s="12" t="s">
        <v>19</v>
      </c>
      <c r="F13" s="12">
        <v>5000</v>
      </c>
      <c r="G13" s="14">
        <f t="shared" ref="G13:G15" si="0">SUM(D13/B13)</f>
        <v>0</v>
      </c>
      <c r="H13" s="14">
        <f t="shared" ref="H13:H15" si="1">SUM(G13*F13)</f>
        <v>0</v>
      </c>
    </row>
    <row r="14" spans="1:8" x14ac:dyDescent="0.25">
      <c r="A14" s="8" t="s">
        <v>30</v>
      </c>
      <c r="B14" s="12">
        <v>1</v>
      </c>
      <c r="C14" s="12" t="s">
        <v>31</v>
      </c>
      <c r="D14" s="11"/>
      <c r="E14" s="12" t="s">
        <v>31</v>
      </c>
      <c r="F14" s="12">
        <v>20</v>
      </c>
      <c r="G14" s="14">
        <f t="shared" si="0"/>
        <v>0</v>
      </c>
      <c r="H14" s="14">
        <f t="shared" si="1"/>
        <v>0</v>
      </c>
    </row>
    <row r="15" spans="1:8" x14ac:dyDescent="0.25">
      <c r="A15" s="8" t="s">
        <v>32</v>
      </c>
      <c r="B15" s="12">
        <v>1000</v>
      </c>
      <c r="C15" s="12" t="s">
        <v>26</v>
      </c>
      <c r="D15" s="11"/>
      <c r="E15" s="12" t="s">
        <v>26</v>
      </c>
      <c r="F15" s="12">
        <v>1000</v>
      </c>
      <c r="G15" s="14">
        <f t="shared" si="0"/>
        <v>0</v>
      </c>
      <c r="H15" s="14">
        <f t="shared" si="1"/>
        <v>0</v>
      </c>
    </row>
    <row r="16" spans="1:8" x14ac:dyDescent="0.25">
      <c r="A16" s="11"/>
      <c r="B16" s="11"/>
      <c r="C16" s="11"/>
      <c r="D16" s="11"/>
      <c r="E16" s="12"/>
      <c r="F16" s="11"/>
      <c r="G16" s="11"/>
      <c r="H16" s="11"/>
    </row>
    <row r="17" spans="1:8" x14ac:dyDescent="0.25">
      <c r="A17" s="11"/>
      <c r="B17" s="11"/>
      <c r="C17" s="11"/>
      <c r="D17" s="11"/>
      <c r="E17" s="11"/>
      <c r="F17" s="11"/>
      <c r="G17" s="11"/>
      <c r="H17" s="11"/>
    </row>
    <row r="18" spans="1:8" x14ac:dyDescent="0.25">
      <c r="G18" s="11" t="s">
        <v>33</v>
      </c>
      <c r="H18" s="14">
        <f>SUM(H11:H17)</f>
        <v>0</v>
      </c>
    </row>
    <row r="19" spans="1:8" x14ac:dyDescent="0.25">
      <c r="G19" s="11" t="s">
        <v>40</v>
      </c>
      <c r="H19" s="14">
        <f>SUM(H18*20/100)</f>
        <v>0</v>
      </c>
    </row>
    <row r="20" spans="1:8" x14ac:dyDescent="0.25">
      <c r="G20" s="11" t="s">
        <v>41</v>
      </c>
      <c r="H20" s="14">
        <f>SUM(H18:H19)</f>
        <v>0</v>
      </c>
    </row>
    <row r="21" spans="1:8" x14ac:dyDescent="0.25">
      <c r="G21" s="11" t="s">
        <v>42</v>
      </c>
      <c r="H21" s="11"/>
    </row>
    <row r="22" spans="1:8" x14ac:dyDescent="0.25">
      <c r="G22" s="11" t="s">
        <v>37</v>
      </c>
      <c r="H22" s="14">
        <f>SUM(H20*100/30)</f>
        <v>0</v>
      </c>
    </row>
    <row r="23" spans="1:8" x14ac:dyDescent="0.25">
      <c r="G23" s="11"/>
      <c r="H23" s="11"/>
    </row>
    <row r="24" spans="1:8" x14ac:dyDescent="0.25">
      <c r="A24" t="s">
        <v>43</v>
      </c>
    </row>
  </sheetData>
  <mergeCells count="4">
    <mergeCell ref="A2:H2"/>
    <mergeCell ref="A9:A10"/>
    <mergeCell ref="B9:D9"/>
    <mergeCell ref="E9:F9"/>
  </mergeCells>
  <pageMargins left="0.25" right="0.25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E70F8-E2DD-486C-8C37-521CB02E4F59}">
  <dimension ref="A2:H10"/>
  <sheetViews>
    <sheetView workbookViewId="0">
      <selection activeCell="B1" sqref="B1"/>
    </sheetView>
  </sheetViews>
  <sheetFormatPr defaultRowHeight="15" x14ac:dyDescent="0.25"/>
  <sheetData>
    <row r="2" spans="1:8" x14ac:dyDescent="0.25">
      <c r="A2" s="15" t="s">
        <v>0</v>
      </c>
      <c r="B2" s="15"/>
      <c r="C2" s="15"/>
      <c r="D2" s="15"/>
      <c r="E2" s="15"/>
      <c r="F2" s="15"/>
      <c r="G2" s="15"/>
      <c r="H2" s="15"/>
    </row>
    <row r="4" spans="1:8" x14ac:dyDescent="0.25">
      <c r="A4" s="1" t="s">
        <v>1</v>
      </c>
      <c r="B4" s="1" t="s">
        <v>46</v>
      </c>
      <c r="C4" s="1"/>
      <c r="D4" s="1"/>
      <c r="E4" s="1"/>
      <c r="F4" s="1" t="s">
        <v>56</v>
      </c>
      <c r="G4" s="1"/>
      <c r="H4" s="1"/>
    </row>
    <row r="5" spans="1:8" x14ac:dyDescent="0.25">
      <c r="A5" s="1" t="s">
        <v>2</v>
      </c>
      <c r="B5" s="1" t="s">
        <v>3</v>
      </c>
      <c r="C5" s="1"/>
      <c r="D5" s="1"/>
      <c r="E5" s="1"/>
      <c r="F5" s="1"/>
      <c r="G5" s="1"/>
      <c r="H5" s="1"/>
    </row>
    <row r="6" spans="1:8" x14ac:dyDescent="0.25">
      <c r="A6" s="1" t="s">
        <v>4</v>
      </c>
      <c r="B6" s="1" t="s">
        <v>51</v>
      </c>
      <c r="C6" s="1"/>
      <c r="D6" s="1"/>
      <c r="E6" s="1"/>
      <c r="F6" s="1"/>
      <c r="G6" s="1"/>
      <c r="H6" s="1"/>
    </row>
    <row r="7" spans="1:8" x14ac:dyDescent="0.25">
      <c r="A7" s="1" t="s">
        <v>5</v>
      </c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ht="30" x14ac:dyDescent="0.25">
      <c r="A9" s="16" t="s">
        <v>6</v>
      </c>
      <c r="B9" s="18" t="s">
        <v>7</v>
      </c>
      <c r="C9" s="19"/>
      <c r="D9" s="20"/>
      <c r="E9" s="18" t="s">
        <v>8</v>
      </c>
      <c r="F9" s="20"/>
      <c r="G9" s="2" t="s">
        <v>9</v>
      </c>
      <c r="H9" s="3" t="s">
        <v>10</v>
      </c>
    </row>
    <row r="10" spans="1:8" ht="30" x14ac:dyDescent="0.25">
      <c r="A10" s="17"/>
      <c r="B10" s="4" t="s">
        <v>11</v>
      </c>
      <c r="C10" s="5" t="s">
        <v>12</v>
      </c>
      <c r="D10" s="5" t="s">
        <v>13</v>
      </c>
      <c r="E10" s="5" t="s">
        <v>12</v>
      </c>
      <c r="F10" s="5" t="s">
        <v>14</v>
      </c>
      <c r="G10" s="6" t="s">
        <v>15</v>
      </c>
      <c r="H10" s="7" t="s">
        <v>16</v>
      </c>
    </row>
  </sheetData>
  <mergeCells count="4">
    <mergeCell ref="A2:H2"/>
    <mergeCell ref="A9:A10"/>
    <mergeCell ref="B9:D9"/>
    <mergeCell ref="E9:F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2E228-1780-4B9D-B24F-D74C44607A65}">
  <dimension ref="A2:H10"/>
  <sheetViews>
    <sheetView workbookViewId="0">
      <selection activeCell="I19" sqref="I19"/>
    </sheetView>
  </sheetViews>
  <sheetFormatPr defaultRowHeight="15" x14ac:dyDescent="0.25"/>
  <cols>
    <col min="1" max="1" width="12.42578125" customWidth="1"/>
    <col min="2" max="2" width="10.5703125" customWidth="1"/>
  </cols>
  <sheetData>
    <row r="2" spans="1:8" x14ac:dyDescent="0.25">
      <c r="A2" s="15" t="s">
        <v>0</v>
      </c>
      <c r="B2" s="15"/>
      <c r="C2" s="15"/>
      <c r="D2" s="15"/>
      <c r="E2" s="15"/>
      <c r="F2" s="15"/>
      <c r="G2" s="15"/>
      <c r="H2" s="15"/>
    </row>
    <row r="4" spans="1:8" x14ac:dyDescent="0.25">
      <c r="A4" s="1" t="s">
        <v>1</v>
      </c>
      <c r="B4" s="1" t="s">
        <v>47</v>
      </c>
      <c r="C4" s="1"/>
      <c r="D4" s="1"/>
      <c r="E4" s="1"/>
      <c r="F4" s="1" t="s">
        <v>55</v>
      </c>
      <c r="G4" s="1"/>
      <c r="H4" s="1"/>
    </row>
    <row r="5" spans="1:8" x14ac:dyDescent="0.25">
      <c r="A5" s="1" t="s">
        <v>2</v>
      </c>
      <c r="B5" s="1" t="s">
        <v>3</v>
      </c>
      <c r="C5" s="1"/>
      <c r="D5" s="1"/>
      <c r="E5" s="1"/>
      <c r="F5" s="1"/>
      <c r="G5" s="1"/>
      <c r="H5" s="1"/>
    </row>
    <row r="6" spans="1:8" x14ac:dyDescent="0.25">
      <c r="A6" s="1" t="s">
        <v>4</v>
      </c>
      <c r="B6" s="1" t="s">
        <v>51</v>
      </c>
      <c r="C6" s="1"/>
      <c r="D6" s="1"/>
      <c r="E6" s="1"/>
      <c r="F6" s="1"/>
      <c r="G6" s="1"/>
      <c r="H6" s="1"/>
    </row>
    <row r="7" spans="1:8" x14ac:dyDescent="0.25">
      <c r="A7" s="1" t="s">
        <v>5</v>
      </c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ht="30" x14ac:dyDescent="0.25">
      <c r="A9" s="16" t="s">
        <v>6</v>
      </c>
      <c r="B9" s="18" t="s">
        <v>7</v>
      </c>
      <c r="C9" s="19"/>
      <c r="D9" s="20"/>
      <c r="E9" s="18" t="s">
        <v>8</v>
      </c>
      <c r="F9" s="20"/>
      <c r="G9" s="2" t="s">
        <v>9</v>
      </c>
      <c r="H9" s="3" t="s">
        <v>10</v>
      </c>
    </row>
    <row r="10" spans="1:8" ht="30" x14ac:dyDescent="0.25">
      <c r="A10" s="17"/>
      <c r="B10" s="4" t="s">
        <v>11</v>
      </c>
      <c r="C10" s="5" t="s">
        <v>12</v>
      </c>
      <c r="D10" s="5" t="s">
        <v>13</v>
      </c>
      <c r="E10" s="5" t="s">
        <v>12</v>
      </c>
      <c r="F10" s="5" t="s">
        <v>14</v>
      </c>
      <c r="G10" s="6" t="s">
        <v>15</v>
      </c>
      <c r="H10" s="7" t="s">
        <v>16</v>
      </c>
    </row>
  </sheetData>
  <mergeCells count="4">
    <mergeCell ref="A2:H2"/>
    <mergeCell ref="A9:A10"/>
    <mergeCell ref="B9:D9"/>
    <mergeCell ref="E9:F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5CE0-34BD-4776-8EE0-AE969A638058}">
  <dimension ref="A2:H10"/>
  <sheetViews>
    <sheetView workbookViewId="0">
      <selection activeCell="B6" sqref="B6"/>
    </sheetView>
  </sheetViews>
  <sheetFormatPr defaultRowHeight="15" x14ac:dyDescent="0.25"/>
  <cols>
    <col min="1" max="1" width="17.5703125" customWidth="1"/>
  </cols>
  <sheetData>
    <row r="2" spans="1:8" x14ac:dyDescent="0.25">
      <c r="A2" s="15" t="s">
        <v>0</v>
      </c>
      <c r="B2" s="15"/>
      <c r="C2" s="15"/>
      <c r="D2" s="15"/>
      <c r="E2" s="15"/>
      <c r="F2" s="15"/>
      <c r="G2" s="15"/>
      <c r="H2" s="15"/>
    </row>
    <row r="4" spans="1:8" x14ac:dyDescent="0.25">
      <c r="A4" s="1" t="s">
        <v>1</v>
      </c>
      <c r="B4" s="1" t="s">
        <v>48</v>
      </c>
      <c r="C4" s="1"/>
      <c r="D4" s="1"/>
      <c r="E4" s="1"/>
      <c r="F4" s="1" t="s">
        <v>54</v>
      </c>
      <c r="G4" s="1"/>
      <c r="H4" s="1"/>
    </row>
    <row r="5" spans="1:8" x14ac:dyDescent="0.25">
      <c r="A5" s="1" t="s">
        <v>2</v>
      </c>
      <c r="B5" s="1" t="s">
        <v>3</v>
      </c>
      <c r="C5" s="1"/>
      <c r="D5" s="1"/>
      <c r="E5" s="1"/>
      <c r="F5" s="1"/>
      <c r="G5" s="1"/>
      <c r="H5" s="1"/>
    </row>
    <row r="6" spans="1:8" x14ac:dyDescent="0.25">
      <c r="A6" s="1" t="s">
        <v>4</v>
      </c>
      <c r="B6" s="1" t="s">
        <v>51</v>
      </c>
      <c r="C6" s="1"/>
      <c r="D6" s="1"/>
      <c r="E6" s="1"/>
      <c r="F6" s="1"/>
      <c r="G6" s="1"/>
      <c r="H6" s="1"/>
    </row>
    <row r="7" spans="1:8" x14ac:dyDescent="0.25">
      <c r="A7" s="1" t="s">
        <v>5</v>
      </c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ht="30" x14ac:dyDescent="0.25">
      <c r="A9" s="16" t="s">
        <v>6</v>
      </c>
      <c r="B9" s="18" t="s">
        <v>7</v>
      </c>
      <c r="C9" s="19"/>
      <c r="D9" s="20"/>
      <c r="E9" s="18" t="s">
        <v>8</v>
      </c>
      <c r="F9" s="20"/>
      <c r="G9" s="2" t="s">
        <v>9</v>
      </c>
      <c r="H9" s="3" t="s">
        <v>10</v>
      </c>
    </row>
    <row r="10" spans="1:8" ht="30" x14ac:dyDescent="0.25">
      <c r="A10" s="17"/>
      <c r="B10" s="4" t="s">
        <v>11</v>
      </c>
      <c r="C10" s="5" t="s">
        <v>12</v>
      </c>
      <c r="D10" s="5" t="s">
        <v>13</v>
      </c>
      <c r="E10" s="5" t="s">
        <v>12</v>
      </c>
      <c r="F10" s="5" t="s">
        <v>14</v>
      </c>
      <c r="G10" s="6" t="s">
        <v>15</v>
      </c>
      <c r="H10" s="7" t="s">
        <v>16</v>
      </c>
    </row>
  </sheetData>
  <mergeCells count="4">
    <mergeCell ref="A2:H2"/>
    <mergeCell ref="A9:A10"/>
    <mergeCell ref="B9:D9"/>
    <mergeCell ref="E9:F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74F56-BE20-4F19-9DF5-30E7B29DC974}">
  <dimension ref="A2:H10"/>
  <sheetViews>
    <sheetView workbookViewId="0">
      <selection activeCell="B6" sqref="B6"/>
    </sheetView>
  </sheetViews>
  <sheetFormatPr defaultRowHeight="15" x14ac:dyDescent="0.25"/>
  <cols>
    <col min="1" max="1" width="15.7109375" customWidth="1"/>
  </cols>
  <sheetData>
    <row r="2" spans="1:8" x14ac:dyDescent="0.25">
      <c r="A2" s="15" t="s">
        <v>0</v>
      </c>
      <c r="B2" s="15"/>
      <c r="C2" s="15"/>
      <c r="D2" s="15"/>
      <c r="E2" s="15"/>
      <c r="F2" s="15"/>
      <c r="G2" s="15"/>
      <c r="H2" s="15"/>
    </row>
    <row r="4" spans="1:8" x14ac:dyDescent="0.25">
      <c r="A4" s="1" t="s">
        <v>1</v>
      </c>
      <c r="B4" s="1" t="s">
        <v>50</v>
      </c>
      <c r="C4" s="1"/>
      <c r="D4" s="1"/>
      <c r="E4" s="1"/>
      <c r="F4" s="1" t="s">
        <v>52</v>
      </c>
      <c r="G4" s="1"/>
      <c r="H4" s="1"/>
    </row>
    <row r="5" spans="1:8" x14ac:dyDescent="0.25">
      <c r="A5" s="1" t="s">
        <v>2</v>
      </c>
      <c r="B5" s="1" t="s">
        <v>3</v>
      </c>
      <c r="C5" s="1"/>
      <c r="D5" s="1"/>
      <c r="E5" s="1"/>
      <c r="F5" s="1"/>
      <c r="G5" s="1"/>
      <c r="H5" s="1"/>
    </row>
    <row r="6" spans="1:8" x14ac:dyDescent="0.25">
      <c r="A6" s="1" t="s">
        <v>4</v>
      </c>
      <c r="B6" s="1" t="s">
        <v>51</v>
      </c>
      <c r="C6" s="1"/>
      <c r="D6" s="1"/>
      <c r="E6" s="1"/>
      <c r="F6" s="1"/>
      <c r="G6" s="1"/>
      <c r="H6" s="1"/>
    </row>
    <row r="7" spans="1:8" x14ac:dyDescent="0.25">
      <c r="A7" s="1" t="s">
        <v>5</v>
      </c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ht="30" x14ac:dyDescent="0.25">
      <c r="A9" s="16" t="s">
        <v>6</v>
      </c>
      <c r="B9" s="18" t="s">
        <v>7</v>
      </c>
      <c r="C9" s="19"/>
      <c r="D9" s="20"/>
      <c r="E9" s="18" t="s">
        <v>8</v>
      </c>
      <c r="F9" s="20"/>
      <c r="G9" s="2" t="s">
        <v>9</v>
      </c>
      <c r="H9" s="3" t="s">
        <v>10</v>
      </c>
    </row>
    <row r="10" spans="1:8" ht="30" x14ac:dyDescent="0.25">
      <c r="A10" s="17"/>
      <c r="B10" s="4" t="s">
        <v>11</v>
      </c>
      <c r="C10" s="5" t="s">
        <v>12</v>
      </c>
      <c r="D10" s="5" t="s">
        <v>13</v>
      </c>
      <c r="E10" s="5" t="s">
        <v>12</v>
      </c>
      <c r="F10" s="5" t="s">
        <v>14</v>
      </c>
      <c r="G10" s="6" t="s">
        <v>15</v>
      </c>
      <c r="H10" s="7" t="s">
        <v>16</v>
      </c>
    </row>
  </sheetData>
  <mergeCells count="4">
    <mergeCell ref="A2:H2"/>
    <mergeCell ref="A9:A10"/>
    <mergeCell ref="B9:D9"/>
    <mergeCell ref="E9:F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B581-4A73-4570-9F65-2C9B89542A22}">
  <dimension ref="A2:H10"/>
  <sheetViews>
    <sheetView workbookViewId="0">
      <selection activeCell="F4" sqref="F4"/>
    </sheetView>
  </sheetViews>
  <sheetFormatPr defaultRowHeight="15" x14ac:dyDescent="0.25"/>
  <cols>
    <col min="1" max="1" width="19.28515625" customWidth="1"/>
  </cols>
  <sheetData>
    <row r="2" spans="1:8" x14ac:dyDescent="0.25">
      <c r="A2" s="15" t="s">
        <v>0</v>
      </c>
      <c r="B2" s="15"/>
      <c r="C2" s="15"/>
      <c r="D2" s="15"/>
      <c r="E2" s="15"/>
      <c r="F2" s="15"/>
      <c r="G2" s="15"/>
      <c r="H2" s="15"/>
    </row>
    <row r="4" spans="1:8" x14ac:dyDescent="0.25">
      <c r="A4" s="1" t="s">
        <v>1</v>
      </c>
      <c r="B4" s="1" t="s">
        <v>49</v>
      </c>
      <c r="C4" s="1"/>
      <c r="D4" s="1"/>
      <c r="E4" s="1"/>
      <c r="F4" s="1" t="s">
        <v>53</v>
      </c>
      <c r="G4" s="1"/>
      <c r="H4" s="1"/>
    </row>
    <row r="5" spans="1:8" x14ac:dyDescent="0.25">
      <c r="A5" s="1" t="s">
        <v>2</v>
      </c>
      <c r="B5" s="1" t="s">
        <v>3</v>
      </c>
      <c r="C5" s="1"/>
      <c r="D5" s="1"/>
      <c r="E5" s="1"/>
      <c r="F5" s="1"/>
      <c r="G5" s="1"/>
      <c r="H5" s="1"/>
    </row>
    <row r="6" spans="1:8" x14ac:dyDescent="0.25">
      <c r="A6" s="1" t="s">
        <v>4</v>
      </c>
      <c r="B6" s="1" t="s">
        <v>51</v>
      </c>
      <c r="C6" s="1"/>
      <c r="D6" s="1"/>
      <c r="E6" s="1"/>
      <c r="F6" s="1"/>
      <c r="G6" s="1"/>
      <c r="H6" s="1"/>
    </row>
    <row r="7" spans="1:8" x14ac:dyDescent="0.25">
      <c r="A7" s="1" t="s">
        <v>5</v>
      </c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ht="30" x14ac:dyDescent="0.25">
      <c r="A9" s="16" t="s">
        <v>6</v>
      </c>
      <c r="B9" s="18" t="s">
        <v>7</v>
      </c>
      <c r="C9" s="19"/>
      <c r="D9" s="20"/>
      <c r="E9" s="18" t="s">
        <v>8</v>
      </c>
      <c r="F9" s="20"/>
      <c r="G9" s="2" t="s">
        <v>9</v>
      </c>
      <c r="H9" s="3" t="s">
        <v>10</v>
      </c>
    </row>
    <row r="10" spans="1:8" ht="30" x14ac:dyDescent="0.25">
      <c r="A10" s="17"/>
      <c r="B10" s="4" t="s">
        <v>11</v>
      </c>
      <c r="C10" s="5" t="s">
        <v>12</v>
      </c>
      <c r="D10" s="5" t="s">
        <v>13</v>
      </c>
      <c r="E10" s="5" t="s">
        <v>12</v>
      </c>
      <c r="F10" s="5" t="s">
        <v>14</v>
      </c>
      <c r="G10" s="6" t="s">
        <v>15</v>
      </c>
      <c r="H10" s="7" t="s">
        <v>16</v>
      </c>
    </row>
  </sheetData>
  <mergeCells count="4">
    <mergeCell ref="A2:H2"/>
    <mergeCell ref="A9:A10"/>
    <mergeCell ref="B9:D9"/>
    <mergeCell ref="E9:F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EB228-ED6C-4D5C-A35F-445631B9E3B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9BB54-88A9-4448-B24C-CF11BBBBCB8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BUMBUMISUUN</vt:lpstr>
      <vt:lpstr>BUMBUNASGORXO</vt:lpstr>
      <vt:lpstr>BUMBUOSENG</vt:lpstr>
      <vt:lpstr>BUMBUMERAH</vt:lpstr>
      <vt:lpstr>BUMBURAWON</vt:lpstr>
      <vt:lpstr>BUMBUSOTO</vt:lpstr>
      <vt:lpstr>SAMBELNITAJAYA</vt:lpstr>
      <vt:lpstr>BUMBUKERINGTEMPE</vt:lpstr>
      <vt:lpstr>Sheet10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2025-01-03T02:48:24Z</cp:lastPrinted>
  <dcterms:created xsi:type="dcterms:W3CDTF">2024-09-15T06:19:09Z</dcterms:created>
  <dcterms:modified xsi:type="dcterms:W3CDTF">2025-01-19T04:16:08Z</dcterms:modified>
</cp:coreProperties>
</file>